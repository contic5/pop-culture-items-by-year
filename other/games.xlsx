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jconti/Documents/Web Design/games-by-year/public/"/>
    </mc:Choice>
  </mc:AlternateContent>
  <xr:revisionPtr revIDLastSave="0" documentId="13_ncr:1_{62EC1980-5315-DB48-92A4-4AF35C1BDF59}" xr6:coauthVersionLast="47" xr6:coauthVersionMax="47" xr10:uidLastSave="{00000000-0000-0000-0000-000000000000}"/>
  <bookViews>
    <workbookView xWindow="1100" yWindow="820" windowWidth="28040" windowHeight="17440" xr2:uid="{92375128-EA72-2142-B7B7-F7502DAA4FF2}"/>
  </bookViews>
  <sheets>
    <sheet name="Data" sheetId="1" r:id="rId1"/>
    <sheet name="Source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1" l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P901" i="1"/>
  <c r="P900" i="1"/>
  <c r="P899" i="1"/>
  <c r="P898" i="1"/>
  <c r="P897" i="1"/>
  <c r="P896" i="1"/>
  <c r="P895" i="1"/>
  <c r="P894" i="1"/>
  <c r="P893" i="1"/>
  <c r="P892" i="1"/>
  <c r="P891" i="1"/>
  <c r="P890" i="1"/>
  <c r="P889" i="1"/>
  <c r="P888" i="1"/>
  <c r="P887" i="1"/>
  <c r="P886" i="1"/>
  <c r="P885" i="1"/>
  <c r="P884" i="1"/>
  <c r="P883" i="1"/>
  <c r="P882" i="1"/>
  <c r="P881" i="1"/>
  <c r="P880" i="1"/>
  <c r="P879" i="1"/>
  <c r="P878" i="1"/>
  <c r="P877" i="1"/>
  <c r="P876" i="1"/>
  <c r="P875" i="1"/>
  <c r="P874" i="1"/>
  <c r="P873" i="1"/>
  <c r="P872" i="1"/>
  <c r="P871" i="1"/>
  <c r="P870" i="1"/>
  <c r="P869" i="1"/>
  <c r="P868" i="1"/>
  <c r="P867" i="1"/>
  <c r="P866" i="1"/>
  <c r="P865" i="1"/>
  <c r="P864" i="1"/>
  <c r="P863" i="1"/>
  <c r="P862" i="1"/>
  <c r="P861" i="1"/>
  <c r="P860" i="1"/>
  <c r="P859" i="1"/>
  <c r="P858" i="1"/>
  <c r="P857" i="1"/>
  <c r="P856" i="1"/>
  <c r="P855" i="1"/>
  <c r="P854" i="1"/>
  <c r="P853" i="1"/>
  <c r="P852" i="1"/>
  <c r="P851" i="1"/>
  <c r="P850" i="1"/>
  <c r="P849" i="1"/>
  <c r="P848" i="1"/>
  <c r="P847" i="1"/>
  <c r="P846" i="1"/>
  <c r="P845" i="1"/>
  <c r="P844" i="1"/>
  <c r="P843" i="1"/>
  <c r="P842" i="1"/>
  <c r="P841" i="1"/>
  <c r="P840" i="1"/>
  <c r="P839" i="1"/>
  <c r="P838" i="1"/>
  <c r="P837" i="1"/>
  <c r="P836" i="1"/>
  <c r="P835" i="1"/>
  <c r="P834" i="1"/>
  <c r="P833" i="1"/>
  <c r="P832" i="1"/>
  <c r="P831" i="1"/>
  <c r="P830" i="1"/>
  <c r="P829" i="1"/>
  <c r="P828" i="1"/>
  <c r="P827" i="1"/>
  <c r="P826" i="1"/>
  <c r="P825" i="1"/>
  <c r="P824" i="1"/>
  <c r="P823" i="1"/>
  <c r="P822" i="1"/>
  <c r="P821" i="1"/>
  <c r="P820" i="1"/>
  <c r="P819" i="1"/>
  <c r="P818" i="1"/>
  <c r="P817" i="1"/>
  <c r="P816" i="1"/>
  <c r="P815" i="1"/>
  <c r="P814" i="1"/>
  <c r="P813" i="1"/>
  <c r="P812" i="1"/>
  <c r="P811" i="1"/>
  <c r="P810" i="1"/>
  <c r="P809" i="1"/>
  <c r="P808" i="1"/>
  <c r="P807" i="1"/>
  <c r="P806" i="1"/>
  <c r="P805" i="1"/>
  <c r="P804" i="1"/>
  <c r="P803" i="1"/>
  <c r="P802" i="1"/>
  <c r="P801" i="1"/>
  <c r="P800" i="1"/>
  <c r="P799" i="1"/>
  <c r="P798" i="1"/>
  <c r="P797" i="1"/>
  <c r="P796" i="1"/>
  <c r="P795" i="1"/>
  <c r="P794" i="1"/>
  <c r="P793" i="1"/>
  <c r="P792" i="1"/>
  <c r="P791" i="1"/>
  <c r="P790" i="1"/>
  <c r="P789" i="1"/>
  <c r="P788" i="1"/>
  <c r="P787" i="1"/>
  <c r="P786" i="1"/>
  <c r="P785" i="1"/>
  <c r="P784" i="1"/>
  <c r="P783" i="1"/>
  <c r="P782" i="1"/>
  <c r="P781" i="1"/>
  <c r="P780" i="1"/>
  <c r="P779" i="1"/>
  <c r="P778" i="1"/>
  <c r="P777" i="1"/>
  <c r="P776" i="1"/>
  <c r="P775" i="1"/>
  <c r="P774" i="1"/>
  <c r="P773" i="1"/>
  <c r="P772" i="1"/>
  <c r="P771" i="1"/>
  <c r="P770" i="1"/>
  <c r="P769" i="1"/>
  <c r="P768" i="1"/>
  <c r="P767" i="1"/>
  <c r="P766" i="1"/>
  <c r="P765" i="1"/>
  <c r="P764" i="1"/>
  <c r="P763" i="1"/>
  <c r="P762" i="1"/>
  <c r="P761" i="1"/>
  <c r="P760" i="1"/>
  <c r="P759" i="1"/>
  <c r="P758" i="1"/>
  <c r="P757" i="1"/>
  <c r="P756" i="1"/>
  <c r="P755" i="1"/>
  <c r="P754" i="1"/>
  <c r="P753" i="1"/>
  <c r="P752" i="1"/>
  <c r="P751" i="1"/>
  <c r="P750" i="1"/>
  <c r="P749" i="1"/>
  <c r="P748" i="1"/>
  <c r="P747" i="1"/>
  <c r="P746" i="1"/>
  <c r="P745" i="1"/>
  <c r="P744" i="1"/>
  <c r="P743" i="1"/>
  <c r="P742" i="1"/>
  <c r="P741" i="1"/>
  <c r="P740" i="1"/>
  <c r="P739" i="1"/>
  <c r="P738" i="1"/>
  <c r="P737" i="1"/>
  <c r="P736" i="1"/>
  <c r="P735" i="1"/>
  <c r="P734" i="1"/>
  <c r="P733" i="1"/>
  <c r="P732" i="1"/>
  <c r="P731" i="1"/>
  <c r="P730" i="1"/>
  <c r="P729" i="1"/>
  <c r="P728" i="1"/>
  <c r="P727" i="1"/>
  <c r="P726" i="1"/>
  <c r="P725" i="1"/>
  <c r="P724" i="1"/>
  <c r="P723" i="1"/>
  <c r="P722" i="1"/>
  <c r="P721" i="1"/>
  <c r="P720" i="1"/>
  <c r="P719" i="1"/>
  <c r="P718" i="1"/>
  <c r="P717" i="1"/>
  <c r="P716" i="1"/>
  <c r="P715" i="1"/>
  <c r="P714" i="1"/>
  <c r="P713" i="1"/>
  <c r="P712" i="1"/>
  <c r="P711" i="1"/>
  <c r="P710" i="1"/>
  <c r="P709" i="1"/>
  <c r="P708" i="1"/>
  <c r="P707" i="1"/>
  <c r="P706" i="1"/>
  <c r="P705" i="1"/>
  <c r="P704" i="1"/>
  <c r="P703" i="1"/>
  <c r="P702" i="1"/>
  <c r="P701" i="1"/>
  <c r="P700" i="1"/>
  <c r="P699" i="1"/>
  <c r="P698" i="1"/>
  <c r="P697" i="1"/>
  <c r="P696" i="1"/>
  <c r="P695" i="1"/>
  <c r="P694" i="1"/>
  <c r="P693" i="1"/>
  <c r="P692" i="1"/>
  <c r="P691" i="1"/>
  <c r="P690" i="1"/>
  <c r="P689" i="1"/>
  <c r="P688" i="1"/>
  <c r="P687" i="1"/>
  <c r="P686" i="1"/>
  <c r="P685" i="1"/>
  <c r="P684" i="1"/>
  <c r="P683" i="1"/>
  <c r="P682" i="1"/>
  <c r="P681" i="1"/>
  <c r="P680" i="1"/>
  <c r="P679" i="1"/>
  <c r="P678" i="1"/>
  <c r="P677" i="1"/>
  <c r="P676" i="1"/>
  <c r="P675" i="1"/>
  <c r="P674" i="1"/>
  <c r="P673" i="1"/>
  <c r="P672" i="1"/>
  <c r="P671" i="1"/>
  <c r="P670" i="1"/>
  <c r="P669" i="1"/>
  <c r="P668" i="1"/>
  <c r="P667" i="1"/>
  <c r="P666" i="1"/>
  <c r="P665" i="1"/>
  <c r="P664" i="1"/>
  <c r="P663" i="1"/>
  <c r="P662" i="1"/>
  <c r="P661" i="1"/>
  <c r="P660" i="1"/>
  <c r="P659" i="1"/>
  <c r="P658" i="1"/>
  <c r="P657" i="1"/>
  <c r="P656" i="1"/>
  <c r="P655" i="1"/>
  <c r="P654" i="1"/>
  <c r="P653" i="1"/>
  <c r="P652" i="1"/>
  <c r="P651" i="1"/>
  <c r="P650" i="1"/>
  <c r="P649" i="1"/>
  <c r="P648" i="1"/>
  <c r="P647" i="1"/>
  <c r="P646" i="1"/>
  <c r="P645" i="1"/>
  <c r="P644" i="1"/>
  <c r="P643" i="1"/>
  <c r="P642" i="1"/>
  <c r="P641" i="1"/>
  <c r="P640" i="1"/>
  <c r="P639" i="1"/>
  <c r="P638" i="1"/>
  <c r="P637" i="1"/>
  <c r="P636" i="1"/>
  <c r="P635" i="1"/>
  <c r="P634" i="1"/>
  <c r="P633" i="1"/>
  <c r="P632" i="1"/>
  <c r="P631" i="1"/>
  <c r="P630" i="1"/>
  <c r="P629" i="1"/>
  <c r="P628" i="1"/>
  <c r="P627" i="1"/>
  <c r="P626" i="1"/>
  <c r="P625" i="1"/>
  <c r="P624" i="1"/>
  <c r="P623" i="1"/>
  <c r="P622" i="1"/>
  <c r="P621" i="1"/>
  <c r="P620" i="1"/>
  <c r="P619" i="1"/>
  <c r="P618" i="1"/>
  <c r="P617" i="1"/>
  <c r="P616" i="1"/>
  <c r="P615" i="1"/>
  <c r="P614" i="1"/>
  <c r="P613" i="1"/>
  <c r="P612" i="1"/>
  <c r="P611" i="1"/>
  <c r="P610" i="1"/>
  <c r="P609" i="1"/>
  <c r="P608" i="1"/>
  <c r="P607" i="1"/>
  <c r="P606" i="1"/>
  <c r="P605" i="1"/>
  <c r="P604" i="1"/>
  <c r="P603" i="1"/>
  <c r="P602" i="1"/>
  <c r="P601" i="1"/>
  <c r="P600" i="1"/>
  <c r="P599" i="1"/>
  <c r="P598" i="1"/>
  <c r="P597" i="1"/>
  <c r="P596" i="1"/>
  <c r="P595" i="1"/>
  <c r="P594" i="1"/>
  <c r="P593" i="1"/>
  <c r="P592" i="1"/>
  <c r="P591" i="1"/>
  <c r="P590" i="1"/>
  <c r="P589" i="1"/>
  <c r="P588" i="1"/>
  <c r="P587" i="1"/>
  <c r="P586" i="1"/>
  <c r="P585" i="1"/>
  <c r="P584" i="1"/>
  <c r="P583" i="1"/>
  <c r="P582" i="1"/>
  <c r="P581" i="1"/>
  <c r="P580" i="1"/>
  <c r="P579" i="1"/>
  <c r="P578" i="1"/>
  <c r="P577" i="1"/>
  <c r="P576" i="1"/>
  <c r="P575" i="1"/>
  <c r="P574" i="1"/>
  <c r="P573" i="1"/>
  <c r="P572" i="1"/>
  <c r="P571" i="1"/>
  <c r="P570" i="1"/>
  <c r="P569" i="1"/>
  <c r="P568" i="1"/>
  <c r="P567" i="1"/>
  <c r="P566" i="1"/>
  <c r="P565" i="1"/>
  <c r="P564" i="1"/>
  <c r="P563" i="1"/>
  <c r="P562" i="1"/>
  <c r="P561" i="1"/>
  <c r="P560" i="1"/>
  <c r="P559" i="1"/>
  <c r="P558" i="1"/>
  <c r="P557" i="1"/>
  <c r="P556" i="1"/>
  <c r="P555" i="1"/>
  <c r="P554" i="1"/>
  <c r="P553" i="1"/>
  <c r="P552" i="1"/>
  <c r="P551" i="1"/>
  <c r="P550" i="1"/>
  <c r="P549" i="1"/>
  <c r="P548" i="1"/>
  <c r="P547" i="1"/>
  <c r="P546" i="1"/>
  <c r="P545" i="1"/>
  <c r="P544" i="1"/>
  <c r="P543" i="1"/>
  <c r="P542" i="1"/>
  <c r="P541" i="1"/>
  <c r="P540" i="1"/>
  <c r="P539" i="1"/>
  <c r="P538" i="1"/>
  <c r="P537" i="1"/>
  <c r="P536" i="1"/>
  <c r="P535" i="1"/>
  <c r="P534" i="1"/>
  <c r="P533" i="1"/>
  <c r="P532" i="1"/>
  <c r="P531" i="1"/>
  <c r="P530" i="1"/>
  <c r="P529" i="1"/>
  <c r="P528" i="1"/>
  <c r="P527" i="1"/>
  <c r="P526" i="1"/>
  <c r="P525" i="1"/>
  <c r="P524" i="1"/>
  <c r="P523" i="1"/>
  <c r="P522" i="1"/>
  <c r="P521" i="1"/>
  <c r="P520" i="1"/>
  <c r="P519" i="1"/>
  <c r="P518" i="1"/>
  <c r="P517" i="1"/>
  <c r="P516" i="1"/>
  <c r="P515" i="1"/>
  <c r="P514" i="1"/>
  <c r="P513" i="1"/>
  <c r="P512" i="1"/>
  <c r="P511" i="1"/>
  <c r="P510" i="1"/>
  <c r="P509" i="1"/>
  <c r="P508" i="1"/>
  <c r="P507" i="1"/>
  <c r="P506" i="1"/>
  <c r="P505" i="1"/>
  <c r="P504" i="1"/>
  <c r="P503" i="1"/>
  <c r="P502" i="1"/>
  <c r="P501" i="1"/>
  <c r="P500" i="1"/>
  <c r="P499" i="1"/>
  <c r="P498" i="1"/>
  <c r="P497" i="1"/>
  <c r="P496" i="1"/>
  <c r="P495" i="1"/>
  <c r="P494" i="1"/>
  <c r="P493" i="1"/>
  <c r="P492" i="1"/>
  <c r="P491" i="1"/>
  <c r="P490" i="1"/>
  <c r="P489" i="1"/>
  <c r="P488" i="1"/>
  <c r="P487" i="1"/>
  <c r="P486" i="1"/>
  <c r="P485" i="1"/>
  <c r="P484" i="1"/>
  <c r="P483" i="1"/>
  <c r="P482" i="1"/>
  <c r="P481" i="1"/>
  <c r="P480" i="1"/>
  <c r="P479" i="1"/>
  <c r="P478" i="1"/>
  <c r="P477" i="1"/>
  <c r="P476" i="1"/>
  <c r="P475" i="1"/>
  <c r="P474" i="1"/>
  <c r="P473" i="1"/>
  <c r="P472" i="1"/>
  <c r="P471" i="1"/>
  <c r="P470" i="1"/>
  <c r="P469" i="1"/>
  <c r="P468" i="1"/>
  <c r="P467" i="1"/>
  <c r="P466" i="1"/>
  <c r="P465" i="1"/>
  <c r="P464" i="1"/>
  <c r="P463" i="1"/>
  <c r="P462" i="1"/>
  <c r="P461" i="1"/>
  <c r="P460" i="1"/>
  <c r="P459" i="1"/>
  <c r="P458" i="1"/>
  <c r="P457" i="1"/>
  <c r="P456" i="1"/>
  <c r="P455" i="1"/>
  <c r="P454" i="1"/>
  <c r="P453" i="1"/>
  <c r="P452" i="1"/>
  <c r="P451" i="1"/>
  <c r="P450" i="1"/>
  <c r="P449" i="1"/>
  <c r="P448" i="1"/>
  <c r="P447" i="1"/>
  <c r="P446" i="1"/>
  <c r="P445" i="1"/>
  <c r="P444" i="1"/>
  <c r="P443" i="1"/>
  <c r="P442" i="1"/>
  <c r="P441" i="1"/>
  <c r="P440" i="1"/>
  <c r="P439" i="1"/>
  <c r="P438" i="1"/>
  <c r="P437" i="1"/>
  <c r="P436" i="1"/>
  <c r="P435" i="1"/>
  <c r="P434" i="1"/>
  <c r="P433" i="1"/>
  <c r="P432" i="1"/>
  <c r="P431" i="1"/>
  <c r="P430" i="1"/>
  <c r="P429" i="1"/>
  <c r="P428" i="1"/>
  <c r="P427" i="1"/>
  <c r="P426" i="1"/>
  <c r="P425" i="1"/>
  <c r="P424" i="1"/>
  <c r="P423" i="1"/>
  <c r="P422" i="1"/>
  <c r="P421" i="1"/>
  <c r="P420" i="1"/>
  <c r="P419" i="1"/>
  <c r="P418" i="1"/>
  <c r="P417" i="1"/>
  <c r="P416" i="1"/>
  <c r="P415" i="1"/>
  <c r="P414" i="1"/>
  <c r="P413" i="1"/>
  <c r="P412" i="1"/>
  <c r="P411" i="1"/>
  <c r="P410" i="1"/>
  <c r="P409" i="1"/>
  <c r="P408" i="1"/>
  <c r="P407" i="1"/>
  <c r="P406" i="1"/>
  <c r="P405" i="1"/>
  <c r="P404" i="1"/>
  <c r="P403" i="1"/>
  <c r="P402" i="1"/>
  <c r="P401" i="1"/>
  <c r="P400" i="1"/>
  <c r="P399" i="1"/>
  <c r="P398" i="1"/>
  <c r="P397" i="1"/>
  <c r="P396" i="1"/>
  <c r="P395" i="1"/>
  <c r="P394" i="1"/>
  <c r="P393" i="1"/>
  <c r="P392" i="1"/>
  <c r="P391" i="1"/>
  <c r="P390" i="1"/>
  <c r="P389" i="1"/>
  <c r="P388" i="1"/>
  <c r="P387" i="1"/>
  <c r="P386" i="1"/>
  <c r="P385" i="1"/>
  <c r="P384" i="1"/>
  <c r="P383" i="1"/>
  <c r="P382" i="1"/>
  <c r="P381" i="1"/>
  <c r="P380" i="1"/>
  <c r="P379" i="1"/>
  <c r="P378" i="1"/>
  <c r="P377" i="1"/>
  <c r="P376" i="1"/>
  <c r="P375" i="1"/>
  <c r="P374" i="1"/>
  <c r="P373" i="1"/>
  <c r="P372" i="1"/>
  <c r="P371" i="1"/>
  <c r="P370" i="1"/>
  <c r="P369" i="1"/>
  <c r="P368" i="1"/>
  <c r="P367" i="1"/>
  <c r="P366" i="1"/>
  <c r="P365" i="1"/>
  <c r="P364" i="1"/>
  <c r="P363" i="1"/>
  <c r="P362" i="1"/>
  <c r="P361" i="1"/>
  <c r="P360" i="1"/>
  <c r="P359" i="1"/>
  <c r="P358" i="1"/>
  <c r="P357" i="1"/>
  <c r="P356" i="1"/>
  <c r="P355" i="1"/>
  <c r="P354" i="1"/>
  <c r="P353" i="1"/>
  <c r="P352" i="1"/>
  <c r="P351" i="1"/>
  <c r="P350" i="1"/>
  <c r="P349" i="1"/>
  <c r="P348" i="1"/>
  <c r="P347" i="1"/>
  <c r="P346" i="1"/>
  <c r="P345" i="1"/>
  <c r="P344" i="1"/>
  <c r="P343" i="1"/>
  <c r="P342" i="1"/>
  <c r="P341" i="1"/>
  <c r="P340" i="1"/>
  <c r="P339" i="1"/>
  <c r="P338" i="1"/>
  <c r="P337" i="1"/>
  <c r="P336" i="1"/>
  <c r="P335" i="1"/>
  <c r="P334" i="1"/>
  <c r="P333" i="1"/>
  <c r="P332" i="1"/>
  <c r="P331" i="1"/>
  <c r="P330" i="1"/>
  <c r="P329" i="1"/>
  <c r="P328" i="1"/>
  <c r="P327" i="1"/>
  <c r="P326" i="1"/>
  <c r="P325" i="1"/>
  <c r="P324" i="1"/>
  <c r="P323" i="1"/>
  <c r="P322" i="1"/>
  <c r="P321" i="1"/>
  <c r="P320" i="1"/>
  <c r="P319" i="1"/>
  <c r="P318" i="1"/>
  <c r="P317" i="1"/>
  <c r="P316" i="1"/>
  <c r="P315" i="1"/>
  <c r="P314" i="1"/>
  <c r="P313" i="1"/>
  <c r="P312" i="1"/>
  <c r="P311" i="1"/>
  <c r="P310" i="1"/>
  <c r="P309" i="1"/>
  <c r="P308" i="1"/>
  <c r="P307" i="1"/>
  <c r="P306" i="1"/>
  <c r="P305" i="1"/>
  <c r="P304" i="1"/>
  <c r="P303" i="1"/>
  <c r="P302" i="1"/>
  <c r="P301" i="1"/>
  <c r="P300" i="1"/>
  <c r="P299" i="1"/>
  <c r="P298" i="1"/>
  <c r="P297" i="1"/>
  <c r="P296" i="1"/>
  <c r="P295" i="1"/>
  <c r="P294" i="1"/>
  <c r="P293" i="1"/>
  <c r="P292" i="1"/>
  <c r="P291" i="1"/>
  <c r="P290" i="1"/>
  <c r="P289" i="1"/>
  <c r="P288" i="1"/>
  <c r="P287" i="1"/>
  <c r="P286" i="1"/>
  <c r="P285" i="1"/>
  <c r="P284" i="1"/>
  <c r="P283" i="1"/>
  <c r="P282" i="1"/>
  <c r="P281" i="1"/>
  <c r="P280" i="1"/>
  <c r="P279" i="1"/>
  <c r="P278" i="1"/>
  <c r="P277" i="1"/>
  <c r="P276" i="1"/>
  <c r="P275" i="1"/>
  <c r="P274" i="1"/>
  <c r="P273" i="1"/>
  <c r="P272" i="1"/>
  <c r="P271" i="1"/>
  <c r="P270" i="1"/>
  <c r="P269" i="1"/>
  <c r="P268" i="1"/>
  <c r="P267" i="1"/>
  <c r="P266" i="1"/>
  <c r="P265" i="1"/>
  <c r="P264" i="1"/>
  <c r="P263" i="1"/>
  <c r="P262" i="1"/>
  <c r="P261" i="1"/>
  <c r="P260" i="1"/>
  <c r="P259" i="1"/>
  <c r="P258" i="1"/>
  <c r="P257" i="1"/>
  <c r="P256" i="1"/>
  <c r="P255" i="1"/>
  <c r="P254" i="1"/>
  <c r="P253" i="1"/>
  <c r="P252" i="1"/>
  <c r="P251" i="1"/>
  <c r="P250" i="1"/>
  <c r="P249" i="1"/>
  <c r="P248" i="1"/>
  <c r="P247" i="1"/>
  <c r="P246" i="1"/>
  <c r="P245" i="1"/>
  <c r="P244" i="1"/>
  <c r="P243" i="1"/>
  <c r="P242" i="1"/>
  <c r="P241" i="1"/>
  <c r="P240" i="1"/>
  <c r="P239" i="1"/>
  <c r="P238" i="1"/>
  <c r="P237" i="1"/>
  <c r="P236" i="1"/>
  <c r="P235" i="1"/>
  <c r="P234" i="1"/>
  <c r="P233" i="1"/>
  <c r="P232" i="1"/>
  <c r="P231" i="1"/>
  <c r="P230" i="1"/>
  <c r="P229" i="1"/>
  <c r="P228" i="1"/>
  <c r="P227" i="1"/>
  <c r="P226" i="1"/>
  <c r="P225" i="1"/>
  <c r="P224" i="1"/>
  <c r="P223" i="1"/>
  <c r="P222" i="1"/>
  <c r="P221" i="1"/>
  <c r="P220" i="1"/>
  <c r="P219" i="1"/>
  <c r="P218" i="1"/>
  <c r="P217" i="1"/>
  <c r="P216" i="1"/>
  <c r="P215" i="1"/>
  <c r="P214" i="1"/>
  <c r="P213" i="1"/>
  <c r="P212" i="1"/>
  <c r="P211" i="1"/>
  <c r="P210" i="1"/>
  <c r="P209" i="1"/>
  <c r="P208" i="1"/>
  <c r="P207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P2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A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</calcChain>
</file>

<file path=xl/sharedStrings.xml><?xml version="1.0" encoding="utf-8"?>
<sst xmlns="http://schemas.openxmlformats.org/spreadsheetml/2006/main" count="5025" uniqueCount="1896">
  <si>
    <t>Mario Kart 8 Deluxe</t>
  </si>
  <si>
    <t>Nintendo</t>
  </si>
  <si>
    <t>28th Apr 17</t>
  </si>
  <si>
    <t>19th Nov 18</t>
  </si>
  <si>
    <t>Animal Crossing: New Horizons</t>
  </si>
  <si>
    <t>20th Mar 20</t>
  </si>
  <si>
    <t>11th Apr 20</t>
  </si>
  <si>
    <t>Super Smash Bros. Ultimate</t>
  </si>
  <si>
    <t>07th Dec 18</t>
  </si>
  <si>
    <t>02nd Oct 22</t>
  </si>
  <si>
    <t>The Legend of Zelda: Breath of the Wild</t>
  </si>
  <si>
    <t>03rd Mar 17</t>
  </si>
  <si>
    <t>Super Mario Odyssey</t>
  </si>
  <si>
    <t>27th Oct 17</t>
  </si>
  <si>
    <t>Pokémon Scarlet / Violet</t>
  </si>
  <si>
    <t>18th Nov 22</t>
  </si>
  <si>
    <t>31st May 22</t>
  </si>
  <si>
    <t>Pokémon Sword / Shield</t>
  </si>
  <si>
    <t>15th Nov 19</t>
  </si>
  <si>
    <t>21st Nov 19</t>
  </si>
  <si>
    <t>The Legend of Zelda: Tears of the Kingdom</t>
  </si>
  <si>
    <t>12th May 23</t>
  </si>
  <si>
    <t>13th Sep 22</t>
  </si>
  <si>
    <t>Super Mario Party</t>
  </si>
  <si>
    <t>05th Oct 18</t>
  </si>
  <si>
    <t>New Super Mario Bros. U Deluxe</t>
  </si>
  <si>
    <t>11th Jan 19</t>
  </si>
  <si>
    <t>02nd Aug 20</t>
  </si>
  <si>
    <t>Nintendo Switch Sports</t>
  </si>
  <si>
    <t>29th Apr 22</t>
  </si>
  <si>
    <t>09th Feb 22</t>
  </si>
  <si>
    <t>Super Mario Bros. Wonder</t>
  </si>
  <si>
    <t>20th Oct 23</t>
  </si>
  <si>
    <t>21st Jun 23</t>
  </si>
  <si>
    <t>Ring Fit Adventure</t>
  </si>
  <si>
    <t>18th Oct 19</t>
  </si>
  <si>
    <t>Pokémon: Let's Go, Pikachu/Eevee</t>
  </si>
  <si>
    <t>16th Nov 18</t>
  </si>
  <si>
    <t>31st Jan 19</t>
  </si>
  <si>
    <t>Pokémon Brilliant Diamond / Shining Pearl</t>
  </si>
  <si>
    <t>19th Nov 21</t>
  </si>
  <si>
    <t>26th Feb 21</t>
  </si>
  <si>
    <t>Pokémon Legends: Arceus</t>
  </si>
  <si>
    <t>28th Jan 22</t>
  </si>
  <si>
    <t>Luigi's Mansion 3</t>
  </si>
  <si>
    <t>31st Oct 19</t>
  </si>
  <si>
    <t>03rd Aug 20</t>
  </si>
  <si>
    <t>Mario Party Superstars</t>
  </si>
  <si>
    <t>29th Oct 21</t>
  </si>
  <si>
    <t>15th Jun 21</t>
  </si>
  <si>
    <t>Splatoon 2</t>
  </si>
  <si>
    <t>21st Jul 17</t>
  </si>
  <si>
    <t>Super Mario 3D World + Bowser's Fury</t>
  </si>
  <si>
    <t>12th Feb 21</t>
  </si>
  <si>
    <t>03rd Sep 20</t>
  </si>
  <si>
    <t>Splatoon 3</t>
  </si>
  <si>
    <t>09th Sep 22</t>
  </si>
  <si>
    <t>17th Feb 21</t>
  </si>
  <si>
    <t>Super Mario 3D All-Stars</t>
  </si>
  <si>
    <t>18th Sep 20</t>
  </si>
  <si>
    <t>04th Sep 20</t>
  </si>
  <si>
    <t>Super Mario Maker 2</t>
  </si>
  <si>
    <t>28th Jun 19</t>
  </si>
  <si>
    <t>24th Apr 19</t>
  </si>
  <si>
    <t>Stardew Valley</t>
  </si>
  <si>
    <t>Chucklefish</t>
  </si>
  <si>
    <t>05th Oct 17</t>
  </si>
  <si>
    <t>11th Feb 19</t>
  </si>
  <si>
    <t>Monster Hunter Rise</t>
  </si>
  <si>
    <t>Capcom</t>
  </si>
  <si>
    <t>26th Mar 21</t>
  </si>
  <si>
    <t>25th Aug 22</t>
  </si>
  <si>
    <t>Kirby and the Forgotten Land</t>
  </si>
  <si>
    <t>25th Mar 22</t>
  </si>
  <si>
    <t>15th Jan 22</t>
  </si>
  <si>
    <t>Super Mario Party Jamboree</t>
  </si>
  <si>
    <t>17th Oct 24</t>
  </si>
  <si>
    <t>19th Jun 24</t>
  </si>
  <si>
    <t>The Legend of Zelda: Link's Awakening</t>
  </si>
  <si>
    <t>20th Sep 19</t>
  </si>
  <si>
    <t>11th Jun 19</t>
  </si>
  <si>
    <t>Clubhouse Games: 51 Worldwide Classics</t>
  </si>
  <si>
    <t>05th Jun 20</t>
  </si>
  <si>
    <t>07th Apr 20</t>
  </si>
  <si>
    <t>Donkey Kong Country: Tropical Freeze</t>
  </si>
  <si>
    <t>04th May 18</t>
  </si>
  <si>
    <t>Mario Tennis Aces</t>
  </si>
  <si>
    <t>22nd Jun 18</t>
  </si>
  <si>
    <t>14th Jun 18</t>
  </si>
  <si>
    <t>Kirby Star Allies</t>
  </si>
  <si>
    <t>16th Mar 18</t>
  </si>
  <si>
    <t>14th Mar 18</t>
  </si>
  <si>
    <t>The Legend of Zelda: Skyward Sword HD</t>
  </si>
  <si>
    <t>16th Jul 21</t>
  </si>
  <si>
    <t>18th Feb 21</t>
  </si>
  <si>
    <t>Fire Emblem: Three Houses</t>
  </si>
  <si>
    <t>26th Jul 19</t>
  </si>
  <si>
    <t>The Legend of Zelda: Echoes of Wisdom</t>
  </si>
  <si>
    <t>26th Sep 24</t>
  </si>
  <si>
    <t>Hyrule Warriors: Age of Calamity</t>
  </si>
  <si>
    <t>20th Nov 20</t>
  </si>
  <si>
    <t>12th Sep 20</t>
  </si>
  <si>
    <t>Momotaro Dentetsu: Showa, Heisei, Reiwa Mo Teiban!</t>
  </si>
  <si>
    <t>Konami</t>
  </si>
  <si>
    <t>19th Nov 20</t>
  </si>
  <si>
    <t>24th Nov 20</t>
  </si>
  <si>
    <t>1-2-Switch</t>
  </si>
  <si>
    <t>Pikmin 4</t>
  </si>
  <si>
    <t>21st Jul 23</t>
  </si>
  <si>
    <t>Paper Mario: The Origami King</t>
  </si>
  <si>
    <t>17th Jul 20</t>
  </si>
  <si>
    <t>01st Aug 20</t>
  </si>
  <si>
    <t>Yoshi's Crafted World</t>
  </si>
  <si>
    <t>29th Mar 19</t>
  </si>
  <si>
    <t>22nd Mar 19</t>
  </si>
  <si>
    <t>Super Mario RPG</t>
  </si>
  <si>
    <t>17th Nov 23</t>
  </si>
  <si>
    <t>Metroid Dread</t>
  </si>
  <si>
    <t>08th Oct 21</t>
  </si>
  <si>
    <t>ARMS</t>
  </si>
  <si>
    <t>16th Jun 17</t>
  </si>
  <si>
    <t>Xenoblade Chronicles 2</t>
  </si>
  <si>
    <t>01st Dec 17</t>
  </si>
  <si>
    <t>01st Jan 18</t>
  </si>
  <si>
    <t>Mario Strikers: Battle League</t>
  </si>
  <si>
    <t>10th Jun 22</t>
  </si>
  <si>
    <t>Mario Golf: Super Rush</t>
  </si>
  <si>
    <t>25th Jun 21</t>
  </si>
  <si>
    <t>Dragon Ball FighterZ</t>
  </si>
  <si>
    <t>Bandai Namco Entertainment</t>
  </si>
  <si>
    <t>28th Sep 18</t>
  </si>
  <si>
    <t>12th Jun 18</t>
  </si>
  <si>
    <t>New Pokémon Snap</t>
  </si>
  <si>
    <t>30th Apr 21</t>
  </si>
  <si>
    <t>17th Jun 20</t>
  </si>
  <si>
    <t>Pikmin 3 Deluxe</t>
  </si>
  <si>
    <t>30th Oct 20</t>
  </si>
  <si>
    <t>05th Aug 20</t>
  </si>
  <si>
    <t>Boxart Missing</t>
  </si>
  <si>
    <t>NS</t>
  </si>
  <si>
    <t>Captain Toad: Treasure Tracker</t>
  </si>
  <si>
    <t>13th Jul 18</t>
  </si>
  <si>
    <t>18th Nov 18</t>
  </si>
  <si>
    <t>Taiko no Tatsujin: Drum 'n' Fun!</t>
  </si>
  <si>
    <t>Bandai Namco Games</t>
  </si>
  <si>
    <t>02nd Nov 18</t>
  </si>
  <si>
    <t>25th Aug 18</t>
  </si>
  <si>
    <t>Paper Mario: The Thousand-Year Door</t>
  </si>
  <si>
    <t>23rd May 24</t>
  </si>
  <si>
    <t>14th Sep 23</t>
  </si>
  <si>
    <t>Mario + Rabbids: Kingdom Battle</t>
  </si>
  <si>
    <t>Ubisoft</t>
  </si>
  <si>
    <t>29th Aug 17</t>
  </si>
  <si>
    <t>24th Jan 18</t>
  </si>
  <si>
    <t>Pokémon Mystery Dungeon: Rescue Team DX</t>
  </si>
  <si>
    <t>06th Mar 20</t>
  </si>
  <si>
    <t>Mario &amp; Luigi: Brothership</t>
  </si>
  <si>
    <t>07th Nov 24</t>
  </si>
  <si>
    <t>Big Brain Academy: Brain vs. Brain</t>
  </si>
  <si>
    <t>03rd Dec 21</t>
  </si>
  <si>
    <t>11th Sep 21</t>
  </si>
  <si>
    <t>Octopath Traveler</t>
  </si>
  <si>
    <t>02nd Oct 18</t>
  </si>
  <si>
    <t>Minecraft</t>
  </si>
  <si>
    <t>Mojang</t>
  </si>
  <si>
    <t>21st Jun 18</t>
  </si>
  <si>
    <t>26th Jan 19</t>
  </si>
  <si>
    <t>Luigi's Mansion 2 HD</t>
  </si>
  <si>
    <t>27th Jun 24</t>
  </si>
  <si>
    <t>Xenoblade Chronicles: Definitive Edition</t>
  </si>
  <si>
    <t>29th May 20</t>
  </si>
  <si>
    <t>11th May 20</t>
  </si>
  <si>
    <t>Xenoblade Chronicles 3</t>
  </si>
  <si>
    <t>29th Jul 22</t>
  </si>
  <si>
    <t>Dragon Ball: Xenoverse 2</t>
  </si>
  <si>
    <t>Namco Bandai Games</t>
  </si>
  <si>
    <t>22nd Sep 17</t>
  </si>
  <si>
    <t>Miitopia</t>
  </si>
  <si>
    <t>21st May 21</t>
  </si>
  <si>
    <t>Mario Kart Live: Home Circuit</t>
  </si>
  <si>
    <t>16th Oct 20</t>
  </si>
  <si>
    <t>Fire Emblem Engage</t>
  </si>
  <si>
    <t>20th Jan 23</t>
  </si>
  <si>
    <t>Marvel Ultimate Alliance 3: The Black Order</t>
  </si>
  <si>
    <t>19th Jul 19</t>
  </si>
  <si>
    <t>12th Jun 19</t>
  </si>
  <si>
    <t>Resident Evil: Revelations Collection</t>
  </si>
  <si>
    <t>28th Nov 17</t>
  </si>
  <si>
    <t>15th Mar 18</t>
  </si>
  <si>
    <t>Momotaro Dentetsu World: Chikyuu wa Kibou de Mawatteru!</t>
  </si>
  <si>
    <t>16th Nov 23</t>
  </si>
  <si>
    <t>28th Dec 23</t>
  </si>
  <si>
    <t>Kirby's Return to Dream Land Deluxe</t>
  </si>
  <si>
    <t>24th Feb 23</t>
  </si>
  <si>
    <t>Nintendo Labo: Toy-Con 01 Variety Kit</t>
  </si>
  <si>
    <t>20th Apr 18</t>
  </si>
  <si>
    <t>The Witcher 3: Complete Edition</t>
  </si>
  <si>
    <t>CD Projekt Red Studio</t>
  </si>
  <si>
    <t>15th Oct 19</t>
  </si>
  <si>
    <t>WarioWare: Get It Together!</t>
  </si>
  <si>
    <t>10th Sep 21</t>
  </si>
  <si>
    <t>16th Jun 21</t>
  </si>
  <si>
    <t>Astral Chain</t>
  </si>
  <si>
    <t>30th Aug 19</t>
  </si>
  <si>
    <t>Dragon's Dogma: Dark Arisen</t>
  </si>
  <si>
    <t>23rd Apr 19</t>
  </si>
  <si>
    <t>Princess Peach: Showtime!</t>
  </si>
  <si>
    <t>22nd Mar 23</t>
  </si>
  <si>
    <t>Donkey Kong Country Returns HD</t>
  </si>
  <si>
    <t>16th Jan 25</t>
  </si>
  <si>
    <t>Dr Kawashima's Brain Training for Nintendo Switch</t>
  </si>
  <si>
    <t>03rd Jan 20</t>
  </si>
  <si>
    <t>10th Jan 20</t>
  </si>
  <si>
    <t>Naruto Shippuden: Ultimate Ninja Storm Trilogy</t>
  </si>
  <si>
    <t>26th Apr 18</t>
  </si>
  <si>
    <t>20th May 18</t>
  </si>
  <si>
    <t>Bayonetta</t>
  </si>
  <si>
    <t>16th Feb 18</t>
  </si>
  <si>
    <t>Bayonetta 2</t>
  </si>
  <si>
    <t>17th Apr 18</t>
  </si>
  <si>
    <t>Pokken Tournament DX</t>
  </si>
  <si>
    <t>The Elder Scrolls V: Skyrim</t>
  </si>
  <si>
    <t>Bethesda Softworks</t>
  </si>
  <si>
    <t>17th Nov 17</t>
  </si>
  <si>
    <t>Dark Souls: Remastered</t>
  </si>
  <si>
    <t>19th Oct 18</t>
  </si>
  <si>
    <t>05th Jun 18</t>
  </si>
  <si>
    <t>Game Builder Garage</t>
  </si>
  <si>
    <t>11th Jun 21</t>
  </si>
  <si>
    <t>01st Aug 21</t>
  </si>
  <si>
    <t>Mario vs. Donkey Kong</t>
  </si>
  <si>
    <t>16th Feb 24</t>
  </si>
  <si>
    <t>Crash Bandicoot N. Sane Trilogy</t>
  </si>
  <si>
    <t>Activision</t>
  </si>
  <si>
    <t>29th Jun 18</t>
  </si>
  <si>
    <t>07th Nov 18</t>
  </si>
  <si>
    <t>Resident Evil 6</t>
  </si>
  <si>
    <t>29th Oct 19</t>
  </si>
  <si>
    <t>16th Jun 19</t>
  </si>
  <si>
    <t>Shin Megami Tensei V</t>
  </si>
  <si>
    <t>Sega</t>
  </si>
  <si>
    <t>11th Nov 21</t>
  </si>
  <si>
    <t>08th Dec 21</t>
  </si>
  <si>
    <t>FIFA 18</t>
  </si>
  <si>
    <t>EA Sports</t>
  </si>
  <si>
    <t>29th Sep 17</t>
  </si>
  <si>
    <t>02nd Apr 18</t>
  </si>
  <si>
    <t>Metroid Prime Remastered</t>
  </si>
  <si>
    <t>08th Feb 23</t>
  </si>
  <si>
    <t>09th Feb 23</t>
  </si>
  <si>
    <t>Bayonetta 3</t>
  </si>
  <si>
    <t>28th Oct 22</t>
  </si>
  <si>
    <t>31st Dec 17</t>
  </si>
  <si>
    <t>Dragon Quest Monsters: The Dark Prince</t>
  </si>
  <si>
    <t>Square Enix</t>
  </si>
  <si>
    <t>01st Dec 23</t>
  </si>
  <si>
    <t>Enter the Gungeon</t>
  </si>
  <si>
    <t>Devolver Digital</t>
  </si>
  <si>
    <t>14th Dec 17</t>
  </si>
  <si>
    <t>04th Feb 18</t>
  </si>
  <si>
    <t>Fire Emblem Warriors: Three Hopes</t>
  </si>
  <si>
    <t>24th Jun 22</t>
  </si>
  <si>
    <t>Fitness Boxing</t>
  </si>
  <si>
    <t>04th Jan 19</t>
  </si>
  <si>
    <t>14th Jan 21</t>
  </si>
  <si>
    <t>Fitness Boxing 2: Rhythm &amp; Exercise</t>
  </si>
  <si>
    <t>04th Dec 20</t>
  </si>
  <si>
    <t>17th Apr 22</t>
  </si>
  <si>
    <t>Puyo Puyo Tetris</t>
  </si>
  <si>
    <t>25th Apr 17</t>
  </si>
  <si>
    <t>04th Jul 18</t>
  </si>
  <si>
    <t>Resident Evil 4</t>
  </si>
  <si>
    <t>21st May 19</t>
  </si>
  <si>
    <t>03rd Apr 19</t>
  </si>
  <si>
    <t>Story of Seasons: Pioneers of Olive Town</t>
  </si>
  <si>
    <t>Marvelous</t>
  </si>
  <si>
    <t>10th Feb 21</t>
  </si>
  <si>
    <t>ID</t>
  </si>
  <si>
    <t>Game</t>
  </si>
  <si>
    <t>Console</t>
  </si>
  <si>
    <t>Publisher</t>
  </si>
  <si>
    <t>VGChartz Score</t>
  </si>
  <si>
    <t>Critic Score</t>
  </si>
  <si>
    <t>User Score</t>
  </si>
  <si>
    <t>Total Shipped</t>
  </si>
  <si>
    <t>Total Sales</t>
  </si>
  <si>
    <t>Release Date</t>
  </si>
  <si>
    <t>Last Update</t>
  </si>
  <si>
    <t>Rank</t>
  </si>
  <si>
    <t>Marvel's Spider-Man</t>
  </si>
  <si>
    <t>PS4</t>
  </si>
  <si>
    <t>Sony Interactive Entertainment</t>
  </si>
  <si>
    <t>07th Sep 18</t>
  </si>
  <si>
    <t>26th Sep 18</t>
  </si>
  <si>
    <t>God of War (2018)</t>
  </si>
  <si>
    <t>26th May 22</t>
  </si>
  <si>
    <t>Grand Theft Auto V</t>
  </si>
  <si>
    <t>Rockstar Games</t>
  </si>
  <si>
    <t>18th Nov 14</t>
  </si>
  <si>
    <t>03rd Jan 18</t>
  </si>
  <si>
    <t>Horizon: Zero Dawn</t>
  </si>
  <si>
    <t>28th Feb 17</t>
  </si>
  <si>
    <t>24th Sep 20</t>
  </si>
  <si>
    <t>Uncharted 4: A Thief's End</t>
  </si>
  <si>
    <t>10th May 16</t>
  </si>
  <si>
    <t>23rd Sep 18</t>
  </si>
  <si>
    <t>The Last of Us Remastered</t>
  </si>
  <si>
    <t>Sony Computer Entertainment</t>
  </si>
  <si>
    <t>29th Jul 14</t>
  </si>
  <si>
    <t>24th Sep 18</t>
  </si>
  <si>
    <t>Call of Duty: Black Ops 3</t>
  </si>
  <si>
    <t>06th Nov 15</t>
  </si>
  <si>
    <t>14th Jan 18</t>
  </si>
  <si>
    <t>Red Dead Redemption 2</t>
  </si>
  <si>
    <t>26th Oct 18</t>
  </si>
  <si>
    <t>Call of Duty: WWII</t>
  </si>
  <si>
    <t>03rd Nov 17</t>
  </si>
  <si>
    <t>Gran Turismo Sport</t>
  </si>
  <si>
    <t>17th Oct 17</t>
  </si>
  <si>
    <t>13th Jan 18</t>
  </si>
  <si>
    <t>The Witcher 3: Wild Hunt</t>
  </si>
  <si>
    <t>Warner Bros. Interactive Entertainment</t>
  </si>
  <si>
    <t>19th May 15</t>
  </si>
  <si>
    <t>FIFA 17</t>
  </si>
  <si>
    <t>Electronic Arts</t>
  </si>
  <si>
    <t>27th Sep 16</t>
  </si>
  <si>
    <t>28th Mar 18</t>
  </si>
  <si>
    <t>The Last of Us Part II</t>
  </si>
  <si>
    <t>19th Jun 20</t>
  </si>
  <si>
    <t>25th Jul 20</t>
  </si>
  <si>
    <t>Uncharted: The Nathan Drake Collection</t>
  </si>
  <si>
    <t>07th Oct 15</t>
  </si>
  <si>
    <t>Call of Duty: Black Ops IIII</t>
  </si>
  <si>
    <t>12th Oct 18</t>
  </si>
  <si>
    <t>FIFA 19</t>
  </si>
  <si>
    <t>12th Sep 18</t>
  </si>
  <si>
    <t>Call of Duty: Infinite Warfare</t>
  </si>
  <si>
    <t>04th Nov 16</t>
  </si>
  <si>
    <t>Fallout 4</t>
  </si>
  <si>
    <t>10th Nov 15</t>
  </si>
  <si>
    <t>24th Mar 18</t>
  </si>
  <si>
    <t>FIFA 16</t>
  </si>
  <si>
    <t>22nd Sep 15</t>
  </si>
  <si>
    <t>01st Apr 18</t>
  </si>
  <si>
    <t>Star Wars Battlefront (2015)</t>
  </si>
  <si>
    <t>17th Nov 15</t>
  </si>
  <si>
    <t>Ghost of Tsushima</t>
  </si>
  <si>
    <t>10th Jul 20</t>
  </si>
  <si>
    <t>Bloodborne</t>
  </si>
  <si>
    <t>24th Mar 15</t>
  </si>
  <si>
    <t>10th Apr 18</t>
  </si>
  <si>
    <t>Call of Duty: Advanced Warfare</t>
  </si>
  <si>
    <t>04th Nov 14</t>
  </si>
  <si>
    <t>04th Jan 18</t>
  </si>
  <si>
    <t>Battlefield 1</t>
  </si>
  <si>
    <t>21st Oct 16</t>
  </si>
  <si>
    <t>Days Gone</t>
  </si>
  <si>
    <t>26th Apr 19</t>
  </si>
  <si>
    <t>20th Mar 19</t>
  </si>
  <si>
    <t>Ratchet &amp; Clank (2016)</t>
  </si>
  <si>
    <t>12th Apr 16</t>
  </si>
  <si>
    <t>25th Apr 18</t>
  </si>
  <si>
    <t>07th Oct 14</t>
  </si>
  <si>
    <t>14th Sep 18</t>
  </si>
  <si>
    <t>FIFA 15</t>
  </si>
  <si>
    <t>23rd Sep 14</t>
  </si>
  <si>
    <t>23rd Mar 18</t>
  </si>
  <si>
    <t>Tekken 7</t>
  </si>
  <si>
    <t>02nd Jun 17</t>
  </si>
  <si>
    <t>15th Jan 18</t>
  </si>
  <si>
    <t>Destiny</t>
  </si>
  <si>
    <t>09th Sep 14</t>
  </si>
  <si>
    <t>12th Jan 18</t>
  </si>
  <si>
    <t>God of War III Remastered</t>
  </si>
  <si>
    <t>14th Jul 15</t>
  </si>
  <si>
    <t>03rd Dec 18</t>
  </si>
  <si>
    <t>LittleBigPlanet 3</t>
  </si>
  <si>
    <t>03rd Apr 18</t>
  </si>
  <si>
    <t>Detroit: Become Human</t>
  </si>
  <si>
    <t>25th May 18</t>
  </si>
  <si>
    <t>Uncharted: The Lost Legacy</t>
  </si>
  <si>
    <t>22nd Aug 17</t>
  </si>
  <si>
    <t>inFAMOUS: Second Son</t>
  </si>
  <si>
    <t>21st Mar 14</t>
  </si>
  <si>
    <t>Final Fantasy XV</t>
  </si>
  <si>
    <t>29th Nov 16</t>
  </si>
  <si>
    <t>Final Fantasy VII Remake</t>
  </si>
  <si>
    <t>10th Apr 20</t>
  </si>
  <si>
    <t>Driveclub</t>
  </si>
  <si>
    <t>25th Sep 18</t>
  </si>
  <si>
    <t>30th Jun 17</t>
  </si>
  <si>
    <t>Overwatch</t>
  </si>
  <si>
    <t>Blizzard Entertainment</t>
  </si>
  <si>
    <t>24th May 16</t>
  </si>
  <si>
    <t>Star Wars Battlefront II (2017)</t>
  </si>
  <si>
    <t>29th Dec 17</t>
  </si>
  <si>
    <t>25th Oct 16</t>
  </si>
  <si>
    <t>03rd Mar 18</t>
  </si>
  <si>
    <t>Death Stranding</t>
  </si>
  <si>
    <t>08th Nov 19</t>
  </si>
  <si>
    <t>26th Jul 21</t>
  </si>
  <si>
    <t>Tom Clancy's The Division</t>
  </si>
  <si>
    <t>08th Mar 16</t>
  </si>
  <si>
    <t>Tom Clancy's Rainbow Six: Siege</t>
  </si>
  <si>
    <t>01st Dec 15</t>
  </si>
  <si>
    <t>02nd Feb 24</t>
  </si>
  <si>
    <t>Watch Dogs</t>
  </si>
  <si>
    <t>27th May 14</t>
  </si>
  <si>
    <t>26th Jan 18</t>
  </si>
  <si>
    <t>Naruto Shippuden: Ultimate Ninja Storm 4</t>
  </si>
  <si>
    <t>09th Feb 16</t>
  </si>
  <si>
    <t>22nd Sep 18</t>
  </si>
  <si>
    <t>Call of Duty: Ghosts</t>
  </si>
  <si>
    <t>15th Nov 13</t>
  </si>
  <si>
    <t>21st Mar 18</t>
  </si>
  <si>
    <t>Assassin's Creed: Unity</t>
  </si>
  <si>
    <t>11th Nov 14</t>
  </si>
  <si>
    <t>Destiny 2</t>
  </si>
  <si>
    <t>06th Sep 17</t>
  </si>
  <si>
    <t>Batman: Arkham Knight</t>
  </si>
  <si>
    <t>Warner Bros. Interactive</t>
  </si>
  <si>
    <t>23rd Jun 15</t>
  </si>
  <si>
    <t>Assassin's Creed Origins</t>
  </si>
  <si>
    <t>10th Jan 18</t>
  </si>
  <si>
    <t>Far Cry 4</t>
  </si>
  <si>
    <t>23rd Jan 18</t>
  </si>
  <si>
    <t>Until Dawn</t>
  </si>
  <si>
    <t>25th Aug 15</t>
  </si>
  <si>
    <t>Monster Hunter: World</t>
  </si>
  <si>
    <t>30th Jan 18</t>
  </si>
  <si>
    <t>NBA 2K16</t>
  </si>
  <si>
    <t>2K Sports</t>
  </si>
  <si>
    <t>29th Sep 15</t>
  </si>
  <si>
    <t>Far Cry 5</t>
  </si>
  <si>
    <t>27th Mar 18</t>
  </si>
  <si>
    <t>28th Feb 18</t>
  </si>
  <si>
    <t>Battlefield 4</t>
  </si>
  <si>
    <t>09th Jan 18</t>
  </si>
  <si>
    <t>Dark Souls III</t>
  </si>
  <si>
    <t>23rd Apr 18</t>
  </si>
  <si>
    <t>Jump Force</t>
  </si>
  <si>
    <t>15th Feb 19</t>
  </si>
  <si>
    <t>11th Jun 18</t>
  </si>
  <si>
    <t>Cyberpunk 2077</t>
  </si>
  <si>
    <t>10th Jun 19</t>
  </si>
  <si>
    <t>Resident Evil VII: Biohazard</t>
  </si>
  <si>
    <t>24th Jan 17</t>
  </si>
  <si>
    <t>06th Nov 18</t>
  </si>
  <si>
    <t>Assassin's Creed Syndicate</t>
  </si>
  <si>
    <t>23rd Oct 15</t>
  </si>
  <si>
    <t>NBA 2K17</t>
  </si>
  <si>
    <t>16th Sep 16</t>
  </si>
  <si>
    <t>Mortal Kombat X</t>
  </si>
  <si>
    <t>14th Apr 15</t>
  </si>
  <si>
    <t>FIFA 14</t>
  </si>
  <si>
    <t>15th Sep 18</t>
  </si>
  <si>
    <t>The Elder Scrolls V: Skyrim Special Edition</t>
  </si>
  <si>
    <t>28th Oct 16</t>
  </si>
  <si>
    <t>Watch Dogs 2</t>
  </si>
  <si>
    <t>15th Nov 16</t>
  </si>
  <si>
    <t>NBA 2K18</t>
  </si>
  <si>
    <t>19th Sep 17</t>
  </si>
  <si>
    <t>Madden NFL 16</t>
  </si>
  <si>
    <t>31st Mar 18</t>
  </si>
  <si>
    <t>Madden NFL 17</t>
  </si>
  <si>
    <t>23rd Aug 16</t>
  </si>
  <si>
    <t>Dragon Ball Z: Kakarot</t>
  </si>
  <si>
    <t>17th Jan 20</t>
  </si>
  <si>
    <t>23rd Jul 19</t>
  </si>
  <si>
    <t>Assassin's Creed IV: Black Flag</t>
  </si>
  <si>
    <t>Assassin's Creed Odyssey</t>
  </si>
  <si>
    <t>17th Nov 18</t>
  </si>
  <si>
    <t>Tom Clancy's Ghost Recon Wildlands</t>
  </si>
  <si>
    <t>07th Mar 17</t>
  </si>
  <si>
    <t>Metal Gear Solid V: The Phantom Pain</t>
  </si>
  <si>
    <t>Konami Digital Entertainment</t>
  </si>
  <si>
    <t>01st Sep 15</t>
  </si>
  <si>
    <t>Doom (2016)</t>
  </si>
  <si>
    <t>13th May 16</t>
  </si>
  <si>
    <t>Nioh</t>
  </si>
  <si>
    <t>07th Feb 17</t>
  </si>
  <si>
    <t>Middle-Earth: Shadow of Mordor</t>
  </si>
  <si>
    <t>30th Sep 14</t>
  </si>
  <si>
    <t>Mafia III</t>
  </si>
  <si>
    <t>2K Games</t>
  </si>
  <si>
    <t>07th Oct 16</t>
  </si>
  <si>
    <t>Diablo III: Ultimate Evil Edition</t>
  </si>
  <si>
    <t>19th Aug 14</t>
  </si>
  <si>
    <t>25th Mar 19</t>
  </si>
  <si>
    <t>Far Cry: Primal</t>
  </si>
  <si>
    <t>23rd Feb 16</t>
  </si>
  <si>
    <t>Need for Speed (2015)</t>
  </si>
  <si>
    <t>03rd Nov 15</t>
  </si>
  <si>
    <t>Elden Ring</t>
  </si>
  <si>
    <t>25th Feb 22</t>
  </si>
  <si>
    <t>18th Jan 23</t>
  </si>
  <si>
    <t>NBA 2K19</t>
  </si>
  <si>
    <t>11th Sep 18</t>
  </si>
  <si>
    <t>Madden NFL 18</t>
  </si>
  <si>
    <t>25th Aug 17</t>
  </si>
  <si>
    <t>NieR: Automata</t>
  </si>
  <si>
    <t>Dragon Ball: Xenoverse</t>
  </si>
  <si>
    <t>24th Feb 15</t>
  </si>
  <si>
    <t>NBA 2K15</t>
  </si>
  <si>
    <t>Dying Light</t>
  </si>
  <si>
    <t>27th Jan 15</t>
  </si>
  <si>
    <t>Dragon Age: Inquisition</t>
  </si>
  <si>
    <t>05th Jan 19</t>
  </si>
  <si>
    <t>Persona 5 Royal</t>
  </si>
  <si>
    <t>Atlus</t>
  </si>
  <si>
    <t>31st Mar 20</t>
  </si>
  <si>
    <t>No Man's Sky</t>
  </si>
  <si>
    <t>Hello Games</t>
  </si>
  <si>
    <t>09th Aug 16</t>
  </si>
  <si>
    <t>04th Apr 18</t>
  </si>
  <si>
    <t>Madden NFL 15</t>
  </si>
  <si>
    <t>26th Aug 14</t>
  </si>
  <si>
    <t>Battlefield V</t>
  </si>
  <si>
    <t>20th Nov 18</t>
  </si>
  <si>
    <t>19th Dec 18</t>
  </si>
  <si>
    <t>Madden NFL 19</t>
  </si>
  <si>
    <t>10th Aug 18</t>
  </si>
  <si>
    <t>27th Feb 18</t>
  </si>
  <si>
    <t>Need for Speed: Payback</t>
  </si>
  <si>
    <t>10th Nov 17</t>
  </si>
  <si>
    <t>Destiny: The Taken King</t>
  </si>
  <si>
    <t>15th Sep 15</t>
  </si>
  <si>
    <t>PS3</t>
  </si>
  <si>
    <t>17th Sep 13</t>
  </si>
  <si>
    <t>Call of Duty: Black Ops II</t>
  </si>
  <si>
    <t>13th Nov 12</t>
  </si>
  <si>
    <t>07th Apr 18</t>
  </si>
  <si>
    <t>Call of Duty: Modern Warfare 3</t>
  </si>
  <si>
    <t>08th Nov 11</t>
  </si>
  <si>
    <t>Call of Duty: Black Ops</t>
  </si>
  <si>
    <t>09th Nov 10</t>
  </si>
  <si>
    <t>Gran Turismo 5</t>
  </si>
  <si>
    <t>24th Nov 10</t>
  </si>
  <si>
    <t>Call of Duty: Modern Warfare 2</t>
  </si>
  <si>
    <t>10th Nov 09</t>
  </si>
  <si>
    <t>Grand Theft Auto IV</t>
  </si>
  <si>
    <t>29th Apr 08</t>
  </si>
  <si>
    <t>05th Nov 13</t>
  </si>
  <si>
    <t>Uncharted 3: Drake's Deception</t>
  </si>
  <si>
    <t>01st Nov 11</t>
  </si>
  <si>
    <t>The Last of Us</t>
  </si>
  <si>
    <t>Sony Computer Entertainment America</t>
  </si>
  <si>
    <t>14th Jun 13</t>
  </si>
  <si>
    <t>FIFA 13</t>
  </si>
  <si>
    <t>25th Sep 12</t>
  </si>
  <si>
    <t>06th Apr 18</t>
  </si>
  <si>
    <t>God of War III</t>
  </si>
  <si>
    <t>16th Mar 10</t>
  </si>
  <si>
    <t>Battlefield 3</t>
  </si>
  <si>
    <t>25th Oct 11</t>
  </si>
  <si>
    <t>Uncharted 2: Among Thieves</t>
  </si>
  <si>
    <t>13th Oct 09</t>
  </si>
  <si>
    <t>Call of Duty 4: Modern Warfare</t>
  </si>
  <si>
    <t>05th Nov 07</t>
  </si>
  <si>
    <t>FIFA Soccer 12</t>
  </si>
  <si>
    <t>27th Sep 11</t>
  </si>
  <si>
    <t>24th Sep 13</t>
  </si>
  <si>
    <t>Red Dead Redemption</t>
  </si>
  <si>
    <t>11th Oct 11</t>
  </si>
  <si>
    <t>Assassin's Creed III</t>
  </si>
  <si>
    <t>30th Oct 12</t>
  </si>
  <si>
    <t>12th Apr 18</t>
  </si>
  <si>
    <t>11th Nov 11</t>
  </si>
  <si>
    <t>16th May 14</t>
  </si>
  <si>
    <t>05th Aug 18</t>
  </si>
  <si>
    <t>Metal Gear Solid 4: Guns of the Patriots</t>
  </si>
  <si>
    <t>12th Jun 08</t>
  </si>
  <si>
    <t>05th Aug 23</t>
  </si>
  <si>
    <t>Assassin's Creed II</t>
  </si>
  <si>
    <t>17th Nov 09</t>
  </si>
  <si>
    <t>Batman: Arkham City</t>
  </si>
  <si>
    <t>18th Oct 11</t>
  </si>
  <si>
    <t>Call of Duty: World at War</t>
  </si>
  <si>
    <t>10th Nov 08</t>
  </si>
  <si>
    <t>Final Fantasy XIII</t>
  </si>
  <si>
    <t>09th Mar 10</t>
  </si>
  <si>
    <t>Gran Turismo 5 Prologue</t>
  </si>
  <si>
    <t>15th Apr 08</t>
  </si>
  <si>
    <t>Gran Turismo 6</t>
  </si>
  <si>
    <t>06th Dec 13</t>
  </si>
  <si>
    <t>18th Apr 18</t>
  </si>
  <si>
    <t>Resident Evil 5</t>
  </si>
  <si>
    <t>13th Mar 09</t>
  </si>
  <si>
    <t>FIFA Soccer 11</t>
  </si>
  <si>
    <t>28th Sep 10</t>
  </si>
  <si>
    <t>Uncharted: Drake's Fortune</t>
  </si>
  <si>
    <t>16th Nov 07</t>
  </si>
  <si>
    <t>Assassin's Creed</t>
  </si>
  <si>
    <t>13th Nov 07</t>
  </si>
  <si>
    <t>LittleBigPlanet</t>
  </si>
  <si>
    <t>28th Oct 08</t>
  </si>
  <si>
    <t>Batman: Arkham Asylum</t>
  </si>
  <si>
    <t>Eidos Interactive</t>
  </si>
  <si>
    <t>25th Aug 09</t>
  </si>
  <si>
    <t>Assassin's Creed: Revelations</t>
  </si>
  <si>
    <t>15th Nov 11</t>
  </si>
  <si>
    <t>Street Fighter IV</t>
  </si>
  <si>
    <t>17th Feb 09</t>
  </si>
  <si>
    <t>Fallout 3</t>
  </si>
  <si>
    <t>29th Oct 13</t>
  </si>
  <si>
    <t>Resistance: Fall of Man</t>
  </si>
  <si>
    <t>14th Nov 06</t>
  </si>
  <si>
    <t>Sports Champions</t>
  </si>
  <si>
    <t>17th Sep 10</t>
  </si>
  <si>
    <t>FIFA Soccer 10</t>
  </si>
  <si>
    <t>20th Oct 09</t>
  </si>
  <si>
    <t>LittleBigPlanet 2</t>
  </si>
  <si>
    <t>18th Jan 11</t>
  </si>
  <si>
    <t>Far Cry 3</t>
  </si>
  <si>
    <t>04th Dec 12</t>
  </si>
  <si>
    <t>L.A. Noire</t>
  </si>
  <si>
    <t>Fallout: New Vegas</t>
  </si>
  <si>
    <t>19th Oct 10</t>
  </si>
  <si>
    <t>The Elder Scrolls IV: Oblivion</t>
  </si>
  <si>
    <t>20th Mar 07</t>
  </si>
  <si>
    <t>Tekken 6</t>
  </si>
  <si>
    <t>Namco Bandai</t>
  </si>
  <si>
    <t>27th Oct 09</t>
  </si>
  <si>
    <t>02nd Oct 12</t>
  </si>
  <si>
    <t>God of War: Ascension</t>
  </si>
  <si>
    <t>12th Mar 13</t>
  </si>
  <si>
    <t>Heavy Rain</t>
  </si>
  <si>
    <t>23rd Feb 10</t>
  </si>
  <si>
    <t>MotorStorm</t>
  </si>
  <si>
    <t>06th Mar 07</t>
  </si>
  <si>
    <t>Battlefield: Bad Company 2</t>
  </si>
  <si>
    <t>02nd Mar 10</t>
  </si>
  <si>
    <t>Mortal Kombat (2011)</t>
  </si>
  <si>
    <t>19th Apr 11</t>
  </si>
  <si>
    <t>06th Jan 18</t>
  </si>
  <si>
    <t>Assassin's Creed: Brotherhood</t>
  </si>
  <si>
    <t>16th Nov 10</t>
  </si>
  <si>
    <t>Resistance 2</t>
  </si>
  <si>
    <t>04th Nov 08</t>
  </si>
  <si>
    <t>Medal of Honor</t>
  </si>
  <si>
    <t>12th Oct 10</t>
  </si>
  <si>
    <t>Need for Speed: Hot Pursuit</t>
  </si>
  <si>
    <t>Killzone 3</t>
  </si>
  <si>
    <t>22nd Feb 11</t>
  </si>
  <si>
    <t>Need for Speed: Most Wanted (2012)</t>
  </si>
  <si>
    <t>Madden NFL 13</t>
  </si>
  <si>
    <t>28th Aug 12</t>
  </si>
  <si>
    <t>Final Fantasy XIII-2</t>
  </si>
  <si>
    <t>31st Jan 12</t>
  </si>
  <si>
    <t>Need for Speed: Shift</t>
  </si>
  <si>
    <t>15th Sep 09</t>
  </si>
  <si>
    <t>NBA 2K13</t>
  </si>
  <si>
    <t>FIFA Soccer 09</t>
  </si>
  <si>
    <t>14th Oct 08</t>
  </si>
  <si>
    <t>Ratchet &amp; Clank Future: Tools of Destruction</t>
  </si>
  <si>
    <t>23rd Oct 07</t>
  </si>
  <si>
    <t>Tomb Raider (2013)</t>
  </si>
  <si>
    <t>05th Mar 13</t>
  </si>
  <si>
    <t>Midnight Club: Los Angeles</t>
  </si>
  <si>
    <t>20th Oct 08</t>
  </si>
  <si>
    <t>Saints Row: The Third</t>
  </si>
  <si>
    <t>THQ</t>
  </si>
  <si>
    <t>God of War Collection</t>
  </si>
  <si>
    <t>Pro Evolution Soccer 2011</t>
  </si>
  <si>
    <t>05th Oct 10</t>
  </si>
  <si>
    <t>Madden NFL 11</t>
  </si>
  <si>
    <t>10th Aug 10</t>
  </si>
  <si>
    <t>Batman: Arkham Origins</t>
  </si>
  <si>
    <t>25th Oct 13</t>
  </si>
  <si>
    <t>13th Apr 18</t>
  </si>
  <si>
    <t>Madden NFL 10</t>
  </si>
  <si>
    <t>14th Aug 09</t>
  </si>
  <si>
    <t>Sonic's Ultimate Genesis Collection</t>
  </si>
  <si>
    <t>10th Feb 09</t>
  </si>
  <si>
    <t>LEGO Star Wars: The Complete Saga</t>
  </si>
  <si>
    <t>LucasArts</t>
  </si>
  <si>
    <t>06th Nov 07</t>
  </si>
  <si>
    <t>Dead Island</t>
  </si>
  <si>
    <t>Deep Silver</t>
  </si>
  <si>
    <t>06th Sep 11</t>
  </si>
  <si>
    <t>Pro Evolution Soccer 2010</t>
  </si>
  <si>
    <t>03rd Nov 09</t>
  </si>
  <si>
    <t>Madden NFL 12</t>
  </si>
  <si>
    <t>30th Aug 11</t>
  </si>
  <si>
    <t>Borderlands 2</t>
  </si>
  <si>
    <t>18th Sep 12</t>
  </si>
  <si>
    <t>Guitar Hero III: Legends of Rock</t>
  </si>
  <si>
    <t>RedOctane</t>
  </si>
  <si>
    <t>28th Oct 07</t>
  </si>
  <si>
    <t>Star Wars: The Force Unleashed</t>
  </si>
  <si>
    <t>16th Sep 08</t>
  </si>
  <si>
    <t>NBA 2K14</t>
  </si>
  <si>
    <t>01st Oct 13</t>
  </si>
  <si>
    <t>05th Jan 18</t>
  </si>
  <si>
    <t>Pro Evolution Soccer 2012</t>
  </si>
  <si>
    <t>NBA 2K12</t>
  </si>
  <si>
    <t>04th Oct 11</t>
  </si>
  <si>
    <t>Borderlands</t>
  </si>
  <si>
    <t>PES 2009: Pro Evolution Soccer</t>
  </si>
  <si>
    <t>11th Nov 08</t>
  </si>
  <si>
    <t>Grand Theft Auto: Episodes from Liberty City</t>
  </si>
  <si>
    <t>13th Apr 10</t>
  </si>
  <si>
    <t>Hitman: Absolution</t>
  </si>
  <si>
    <t>20th Nov 12</t>
  </si>
  <si>
    <t>Need for Speed: Undercover</t>
  </si>
  <si>
    <t>17th Nov 08</t>
  </si>
  <si>
    <t>Mortal Kombat vs DC Universe</t>
  </si>
  <si>
    <t>Midway Games</t>
  </si>
  <si>
    <t>16th Nov 08</t>
  </si>
  <si>
    <t>Dark Souls</t>
  </si>
  <si>
    <t>Need for Speed: ProStreet</t>
  </si>
  <si>
    <t>Madden NFL 25</t>
  </si>
  <si>
    <t>27th Aug 13</t>
  </si>
  <si>
    <t>Skate 3</t>
  </si>
  <si>
    <t>11th May 10</t>
  </si>
  <si>
    <t>The Sims 3</t>
  </si>
  <si>
    <t>26th Oct 10</t>
  </si>
  <si>
    <t>Need for Speed: The Run</t>
  </si>
  <si>
    <t>Super Smash Bros. Melee</t>
  </si>
  <si>
    <t>GC</t>
  </si>
  <si>
    <t>02nd Dec 01</t>
  </si>
  <si>
    <t>Mario Kart: Double Dash!!</t>
  </si>
  <si>
    <t>17th Nov 03</t>
  </si>
  <si>
    <t>Super Mario Sunshine</t>
  </si>
  <si>
    <t>25th Aug 02</t>
  </si>
  <si>
    <t>The Legend of Zelda: The Wind Waker</t>
  </si>
  <si>
    <t>26th Mar 03</t>
  </si>
  <si>
    <t>Luigi's Mansion</t>
  </si>
  <si>
    <t>17th Nov 01</t>
  </si>
  <si>
    <t>Metroid Prime</t>
  </si>
  <si>
    <t>17th Nov 02</t>
  </si>
  <si>
    <t>Mario Party 4</t>
  </si>
  <si>
    <t>21st Oct 02</t>
  </si>
  <si>
    <t>Pokémon Colosseum</t>
  </si>
  <si>
    <t>22nd Mar 04</t>
  </si>
  <si>
    <t>Animal Crossing</t>
  </si>
  <si>
    <t>15th Sep 02</t>
  </si>
  <si>
    <t>Mario Party 5</t>
  </si>
  <si>
    <t>10th Nov 03</t>
  </si>
  <si>
    <t>Mario Party 7</t>
  </si>
  <si>
    <t>07th Nov 05</t>
  </si>
  <si>
    <t>11th Oct 04</t>
  </si>
  <si>
    <t>Star Wars Rogue Leader: Rogue Squadron II</t>
  </si>
  <si>
    <t>09th Nov 01</t>
  </si>
  <si>
    <t>Star Fox Adventures</t>
  </si>
  <si>
    <t>22nd Sep 02</t>
  </si>
  <si>
    <t>Sonic Mega Collection</t>
  </si>
  <si>
    <t>10th Nov 02</t>
  </si>
  <si>
    <t>Mario Party 6</t>
  </si>
  <si>
    <t>06th Dec 04</t>
  </si>
  <si>
    <t>Pikmin</t>
  </si>
  <si>
    <t>03rd Dec 01</t>
  </si>
  <si>
    <t>11th Jan 05</t>
  </si>
  <si>
    <t>Sonic Adventure DX: Director's Cut</t>
  </si>
  <si>
    <t>18th Jun 03</t>
  </si>
  <si>
    <t>Super Mario Strikers</t>
  </si>
  <si>
    <t>05th Dec 05</t>
  </si>
  <si>
    <t>Super Monkey Ball 2</t>
  </si>
  <si>
    <t>SoulCalibur II</t>
  </si>
  <si>
    <t>Namco</t>
  </si>
  <si>
    <t>27th Aug 03</t>
  </si>
  <si>
    <t>Super Monkey Ball</t>
  </si>
  <si>
    <t>The Legend of Zelda: Twilight Princess</t>
  </si>
  <si>
    <t>11th Dec 06</t>
  </si>
  <si>
    <t>Pokémon XD: Gale of Darkness</t>
  </si>
  <si>
    <t>28th Sep 05</t>
  </si>
  <si>
    <t>Sonic Heroes</t>
  </si>
  <si>
    <t>05th Jan 04</t>
  </si>
  <si>
    <t>LEGO Star Wars: The Video Game</t>
  </si>
  <si>
    <t>25th Oct 05</t>
  </si>
  <si>
    <t>Kirby Air Ride</t>
  </si>
  <si>
    <t>13th Oct 03</t>
  </si>
  <si>
    <t>Resident Evil</t>
  </si>
  <si>
    <t>30th Apr 02</t>
  </si>
  <si>
    <t>Donkey Kong Jungle Beat</t>
  </si>
  <si>
    <t>14th Mar 05</t>
  </si>
  <si>
    <t>Final Fantasy: Crystal Chronicles</t>
  </si>
  <si>
    <t>09th Feb 04</t>
  </si>
  <si>
    <t>Mario Golf: Toadstool Tour</t>
  </si>
  <si>
    <t>29th Jul 03</t>
  </si>
  <si>
    <t>Resident Evil Zero</t>
  </si>
  <si>
    <t>12th Nov 02</t>
  </si>
  <si>
    <t>Need for Speed Underground</t>
  </si>
  <si>
    <t>Spider-Man: The Movie</t>
  </si>
  <si>
    <t>15th Apr 02</t>
  </si>
  <si>
    <t>Donkey Konga</t>
  </si>
  <si>
    <t>27th Sep 04</t>
  </si>
  <si>
    <t>Mario Power Tennis</t>
  </si>
  <si>
    <t>08th Nov 04</t>
  </si>
  <si>
    <t>Need for Speed Underground 2</t>
  </si>
  <si>
    <t>15th Nov 04</t>
  </si>
  <si>
    <t>Pikmin 2</t>
  </si>
  <si>
    <t>30th Aug 04</t>
  </si>
  <si>
    <t>Metroid Prime 2: Echoes</t>
  </si>
  <si>
    <t>Star Fox: Assault</t>
  </si>
  <si>
    <t>14th Feb 05</t>
  </si>
  <si>
    <t>Mario Superstar Baseball</t>
  </si>
  <si>
    <t>29th Aug 05</t>
  </si>
  <si>
    <t>Naruto: Clash of Ninja 2</t>
  </si>
  <si>
    <t>D3 Publisher</t>
  </si>
  <si>
    <t>26th Sep 06</t>
  </si>
  <si>
    <t>Shrek 2</t>
  </si>
  <si>
    <t>28th Apr 04</t>
  </si>
  <si>
    <t>Sonic Adventure 2 Battle</t>
  </si>
  <si>
    <t>11th Feb 02</t>
  </si>
  <si>
    <t>The Simpsons: Hit &amp; Run</t>
  </si>
  <si>
    <t>VU Games</t>
  </si>
  <si>
    <t>16th Sep 03</t>
  </si>
  <si>
    <t>Shadow The Hedgehog</t>
  </si>
  <si>
    <t>15th Nov 05</t>
  </si>
  <si>
    <t>LEGO Star Wars II: The Original Trilogy</t>
  </si>
  <si>
    <t>12th Sep 06</t>
  </si>
  <si>
    <t>Tales of Symphonia</t>
  </si>
  <si>
    <t>14th Jul 04</t>
  </si>
  <si>
    <t>SpongeBob SquarePants: Battle for Bikini Bottom</t>
  </si>
  <si>
    <t>31st Oct 03</t>
  </si>
  <si>
    <t>The SpongeBob SquarePants Movie</t>
  </si>
  <si>
    <t>27th Oct 04</t>
  </si>
  <si>
    <t>Cars</t>
  </si>
  <si>
    <t>06th Jun 06</t>
  </si>
  <si>
    <t>Sonic Riders</t>
  </si>
  <si>
    <t>21st Feb 06</t>
  </si>
  <si>
    <t>Finding Nemo</t>
  </si>
  <si>
    <t>12th May 03</t>
  </si>
  <si>
    <t>Spider-Man 2</t>
  </si>
  <si>
    <t>28th Jun 04</t>
  </si>
  <si>
    <t>The Incredibles</t>
  </si>
  <si>
    <t>31st Oct 04</t>
  </si>
  <si>
    <t>Tony Hawk's Pro Skater 3</t>
  </si>
  <si>
    <t>13th Nov 01</t>
  </si>
  <si>
    <t>The Legend of Zelda: Four Swords Adventures</t>
  </si>
  <si>
    <t>07th Jun 04</t>
  </si>
  <si>
    <t>Star Wars Rogue Squadron III: Rebel Strike</t>
  </si>
  <si>
    <t>15th Oct 03</t>
  </si>
  <si>
    <t>Need for Speed: Hot Pursuit 2</t>
  </si>
  <si>
    <t>01st Oct 02</t>
  </si>
  <si>
    <t>Harvest Moon: A Wonderful Life</t>
  </si>
  <si>
    <t>Natsume</t>
  </si>
  <si>
    <t>16th Mar 04</t>
  </si>
  <si>
    <t>James Bond 007: Nightfire</t>
  </si>
  <si>
    <t>18th Nov 02</t>
  </si>
  <si>
    <t>James Bond 007: Agent Under Fire</t>
  </si>
  <si>
    <t>13th Mar 02</t>
  </si>
  <si>
    <t>Godzilla: Destroy All Monsters Melee</t>
  </si>
  <si>
    <t>Atari</t>
  </si>
  <si>
    <t>08th Oct 02</t>
  </si>
  <si>
    <t>Yu-Gi-Oh! The Falsebound Kingdom</t>
  </si>
  <si>
    <t>04th Nov 03</t>
  </si>
  <si>
    <t>Spyro: Enter the Dragonfly</t>
  </si>
  <si>
    <t>08th Nov 02</t>
  </si>
  <si>
    <t>WarioWare, Inc.: Mega Party Game$</t>
  </si>
  <si>
    <t>06th Apr 04</t>
  </si>
  <si>
    <t>Tony Hawk's Underground</t>
  </si>
  <si>
    <t>27th Oct 03</t>
  </si>
  <si>
    <t>Madden NFL 2005</t>
  </si>
  <si>
    <t>09th Aug 04</t>
  </si>
  <si>
    <t>Dragon Ball Z: Budokai</t>
  </si>
  <si>
    <t>28th Oct 03</t>
  </si>
  <si>
    <t>Harry Potter and the Chamber of Secrets</t>
  </si>
  <si>
    <t>14th Nov 02</t>
  </si>
  <si>
    <t>The Lord of the Rings: The Return of the King</t>
  </si>
  <si>
    <t>05th Nov 03</t>
  </si>
  <si>
    <t>Naruto: Clash of Ninja</t>
  </si>
  <si>
    <t>07th Mar 06</t>
  </si>
  <si>
    <t>Madagascar</t>
  </si>
  <si>
    <t>24th May 05</t>
  </si>
  <si>
    <t>The Sims: Bustin' Out</t>
  </si>
  <si>
    <t>15th Dec 03</t>
  </si>
  <si>
    <t>F-Zero GX</t>
  </si>
  <si>
    <t>26th Aug 03</t>
  </si>
  <si>
    <t>Namco Museum</t>
  </si>
  <si>
    <t>09th Oct 02</t>
  </si>
  <si>
    <t>Madden NFL 07</t>
  </si>
  <si>
    <t>22nd Aug 06</t>
  </si>
  <si>
    <t>Viewtiful Joe</t>
  </si>
  <si>
    <t>07th Oct 03</t>
  </si>
  <si>
    <t>Pac-Man Player's Choice Bundle</t>
  </si>
  <si>
    <t>02nd Dec 03</t>
  </si>
  <si>
    <t>Madden NFL 2002</t>
  </si>
  <si>
    <t>Wave Race: Blue Storm</t>
  </si>
  <si>
    <t>Medal of Honor: Frontline</t>
  </si>
  <si>
    <t>Crash Bandicoot: The Wrath of Cortex</t>
  </si>
  <si>
    <t>Universal Interactive</t>
  </si>
  <si>
    <t>17th Sep 02</t>
  </si>
  <si>
    <t>Tony Hawk's Pro Skater 4</t>
  </si>
  <si>
    <t>23rd Oct 02</t>
  </si>
  <si>
    <t>Madden NFL 06</t>
  </si>
  <si>
    <t>08th Aug 05</t>
  </si>
  <si>
    <t>True Crime: Streets of LA</t>
  </si>
  <si>
    <t>03rd Nov 03</t>
  </si>
  <si>
    <t>Need for Speed: Most Wanted</t>
  </si>
  <si>
    <t>Fire Emblem: Path of Radiance</t>
  </si>
  <si>
    <t>17th Oct 05</t>
  </si>
  <si>
    <t>SSX Tricky</t>
  </si>
  <si>
    <t>EA Sports BIG</t>
  </si>
  <si>
    <t>NBA Street Vol. 2</t>
  </si>
  <si>
    <t>28th Apr 03</t>
  </si>
  <si>
    <t>X-Men Legends</t>
  </si>
  <si>
    <t>21st Sep 04</t>
  </si>
  <si>
    <t>The Lord of the Rings: The Two Towers</t>
  </si>
  <si>
    <t>30th Dec 02</t>
  </si>
  <si>
    <t>Madden NFL 2004</t>
  </si>
  <si>
    <t>12th Aug 03</t>
  </si>
  <si>
    <t>Avatar: The Last Airbender</t>
  </si>
  <si>
    <t>10th Oct 06</t>
  </si>
  <si>
    <t>Tony Hawk's Underground 2</t>
  </si>
  <si>
    <t>04th Oct 04</t>
  </si>
  <si>
    <t>WWE Wrestlemania X8</t>
  </si>
  <si>
    <t>09th Jun 02</t>
  </si>
  <si>
    <t>The Sims</t>
  </si>
  <si>
    <t>25th Mar 03</t>
  </si>
  <si>
    <t>Crazy Taxi</t>
  </si>
  <si>
    <t>Acclaim Entertainment</t>
  </si>
  <si>
    <t>Dance Dance Revolution: Mario Mix</t>
  </si>
  <si>
    <t>24th Oct 05</t>
  </si>
  <si>
    <t>New Super Mario Bros.</t>
  </si>
  <si>
    <t>DS</t>
  </si>
  <si>
    <t>15th May 06</t>
  </si>
  <si>
    <t>Nintendogs</t>
  </si>
  <si>
    <t>23rd Aug 05</t>
  </si>
  <si>
    <t>Mario Kart DS</t>
  </si>
  <si>
    <t>14th Nov 05</t>
  </si>
  <si>
    <t>Brain Age: Train Your Brain in Minutes a Day</t>
  </si>
  <si>
    <t>17th Apr 06</t>
  </si>
  <si>
    <t>Pokémon Diamond / Pearl Version</t>
  </si>
  <si>
    <t>28th Apr 07</t>
  </si>
  <si>
    <t>Pokémon Black / White Version</t>
  </si>
  <si>
    <t>06th Mar 11</t>
  </si>
  <si>
    <t>Brain Age 2: More Training in Minutes a Day</t>
  </si>
  <si>
    <t>20th Aug 07</t>
  </si>
  <si>
    <t>Pokémon Heart Gold / Soul Silver Version</t>
  </si>
  <si>
    <t>14th Mar 10</t>
  </si>
  <si>
    <t>Animal Crossing: Wild World</t>
  </si>
  <si>
    <t>Super Mario 64 DS</t>
  </si>
  <si>
    <t>20th Nov 04</t>
  </si>
  <si>
    <t>Mario Party DS</t>
  </si>
  <si>
    <t>19th Nov 07</t>
  </si>
  <si>
    <t>Pokémon Black 2 and White 2</t>
  </si>
  <si>
    <t>07th Oct 12</t>
  </si>
  <si>
    <t>25th Feb 18</t>
  </si>
  <si>
    <t>Pokémon Platinum Version</t>
  </si>
  <si>
    <t>22nd Mar 09</t>
  </si>
  <si>
    <t>Big Brain Academy</t>
  </si>
  <si>
    <t>05th Jun 06</t>
  </si>
  <si>
    <t>Cooking Mama</t>
  </si>
  <si>
    <t>Majesco</t>
  </si>
  <si>
    <t>Dragon Quest IX: Sentinels of the Starry Skies</t>
  </si>
  <si>
    <t>11th Jul 10</t>
  </si>
  <si>
    <t>Mario &amp; Sonic at the Olympic Games</t>
  </si>
  <si>
    <t>22nd Jan 08</t>
  </si>
  <si>
    <t>Pokémon Mystery Dungeon: Explorers of Time / Darkness</t>
  </si>
  <si>
    <t>20th Apr 08</t>
  </si>
  <si>
    <t>The Legend of Zelda: Phantom Hourglass</t>
  </si>
  <si>
    <t>02nd Oct 07</t>
  </si>
  <si>
    <t>Mario &amp; Luigi: Bowser's Inside Story</t>
  </si>
  <si>
    <t>14th Sep 09</t>
  </si>
  <si>
    <t>Professor Layton and the Curious Village</t>
  </si>
  <si>
    <t>10th Feb 08</t>
  </si>
  <si>
    <t>English Training: Have Fun Improving Your Skills!</t>
  </si>
  <si>
    <t>27th Oct 06</t>
  </si>
  <si>
    <t>Professor Layton and the Diabolical Box</t>
  </si>
  <si>
    <t>24th Aug 09</t>
  </si>
  <si>
    <t>Tomodachi Collection</t>
  </si>
  <si>
    <t>18th Jun 09</t>
  </si>
  <si>
    <t>MySims</t>
  </si>
  <si>
    <t>18th Sep 07</t>
  </si>
  <si>
    <t>Cooking Mama 2: Dinner With Friends</t>
  </si>
  <si>
    <t>Pokémon Mystery Dungeon: Blue Rescue Team</t>
  </si>
  <si>
    <t>18th Sep 06</t>
  </si>
  <si>
    <t>Mario &amp; Sonic at the Olympic Winter Games</t>
  </si>
  <si>
    <t>Guitar Hero: On Tour</t>
  </si>
  <si>
    <t>22nd Jun 08</t>
  </si>
  <si>
    <t>Yoshi's Island DS</t>
  </si>
  <si>
    <t>13th Nov 06</t>
  </si>
  <si>
    <t>Flash Focus: Vision Training in Minutes a Day</t>
  </si>
  <si>
    <t>15th Oct 07</t>
  </si>
  <si>
    <t>Personal Trainer: Cooking</t>
  </si>
  <si>
    <t>24th Nov 08</t>
  </si>
  <si>
    <t>Club Penguin: Elite Penguin Force</t>
  </si>
  <si>
    <t>Disney Interactive Studios</t>
  </si>
  <si>
    <t>25th Nov 08</t>
  </si>
  <si>
    <t>LEGO Batman: The Videogame</t>
  </si>
  <si>
    <t>23rd Sep 08</t>
  </si>
  <si>
    <t>Rhythm Heaven</t>
  </si>
  <si>
    <t>05th Apr 09</t>
  </si>
  <si>
    <t>31st May 18</t>
  </si>
  <si>
    <t>Professor Layton and the Unwound Future</t>
  </si>
  <si>
    <t>12th Sep 10</t>
  </si>
  <si>
    <t>Sonic Rush</t>
  </si>
  <si>
    <t>Kirby Super Star Ultra</t>
  </si>
  <si>
    <t>22nd Sep 08</t>
  </si>
  <si>
    <t>Mario vs. Donkey Kong: Mini-Land Mayhem!</t>
  </si>
  <si>
    <t>14th Nov 10</t>
  </si>
  <si>
    <t>Style Savvy</t>
  </si>
  <si>
    <t>02nd Nov 09</t>
  </si>
  <si>
    <t>The Legend of Zelda: Spirit Tracks</t>
  </si>
  <si>
    <t>07th Dec 09</t>
  </si>
  <si>
    <t>Pokémon Ranger</t>
  </si>
  <si>
    <t>30th Oct 06</t>
  </si>
  <si>
    <t>Imagine: Babyz</t>
  </si>
  <si>
    <t>Imagine: Fashion Designer</t>
  </si>
  <si>
    <t>17th Sep 18</t>
  </si>
  <si>
    <t>Tetris DS</t>
  </si>
  <si>
    <t>20th Mar 06</t>
  </si>
  <si>
    <t>Hannah Montana</t>
  </si>
  <si>
    <t>Buena Vista</t>
  </si>
  <si>
    <t>Clubhouse Games</t>
  </si>
  <si>
    <t>09th Oct 06</t>
  </si>
  <si>
    <t>WarioWare Touched!</t>
  </si>
  <si>
    <t>Pokémon Ranger: Shadows of Almia</t>
  </si>
  <si>
    <t>Art Academy</t>
  </si>
  <si>
    <t>25th Oct 10</t>
  </si>
  <si>
    <t>Final Fantasy III</t>
  </si>
  <si>
    <t>LEGO Harry Potter: Years 1-4</t>
  </si>
  <si>
    <t>29th Jun 10</t>
  </si>
  <si>
    <t>01st Dec 18</t>
  </si>
  <si>
    <t>Kirby Squeak Squad</t>
  </si>
  <si>
    <t>06th Dec 06</t>
  </si>
  <si>
    <t>LEGO Indiana Jones: The Original Adventures</t>
  </si>
  <si>
    <t>03rd Jun 08</t>
  </si>
  <si>
    <t>High School Musical: Makin' the Cut!</t>
  </si>
  <si>
    <t>14th Aug 07</t>
  </si>
  <si>
    <t>Inazuma Eleven 3: Lightning Bolt / Bomb Blast / Team Ogre Attacks!</t>
  </si>
  <si>
    <t>Level 5</t>
  </si>
  <si>
    <t>01st Jul 10</t>
  </si>
  <si>
    <t>The Sims 2: Pets</t>
  </si>
  <si>
    <t>31st Oct 06</t>
  </si>
  <si>
    <t>Professor Layton and the Last Specter</t>
  </si>
  <si>
    <t>17th Oct 11</t>
  </si>
  <si>
    <t>Toy Story 3: The Video Game</t>
  </si>
  <si>
    <t>15th Jun 10</t>
  </si>
  <si>
    <t>Carnival Games</t>
  </si>
  <si>
    <t>2K Play</t>
  </si>
  <si>
    <t>08th Jul 08</t>
  </si>
  <si>
    <t>Mario Hoops 3 on 3</t>
  </si>
  <si>
    <t>11th Sep 06</t>
  </si>
  <si>
    <t>Dragon Quest Monsters: Joker 2</t>
  </si>
  <si>
    <t>19th Sep 11</t>
  </si>
  <si>
    <t>TouchMaster</t>
  </si>
  <si>
    <t>25th Jun 07</t>
  </si>
  <si>
    <t>Inazuma Eleven 2: Blizzard / Firestorm</t>
  </si>
  <si>
    <t>09th Oct 09</t>
  </si>
  <si>
    <t>31st Aug 18</t>
  </si>
  <si>
    <t>Dragon Quest Monsters: Joker</t>
  </si>
  <si>
    <t>Sonic Classic Collection</t>
  </si>
  <si>
    <t>Phineas and Ferb</t>
  </si>
  <si>
    <t>03rd Feb 09</t>
  </si>
  <si>
    <t>Namco Museum DS</t>
  </si>
  <si>
    <t>Mario &amp; Luigi: Partners in Time</t>
  </si>
  <si>
    <t>28th Nov 05</t>
  </si>
  <si>
    <t>Deal or No Deal</t>
  </si>
  <si>
    <t>Destination Software, Inc</t>
  </si>
  <si>
    <t>23rd Jul 07</t>
  </si>
  <si>
    <t>Imagine: Teacher</t>
  </si>
  <si>
    <t>12th Aug 08</t>
  </si>
  <si>
    <t>Dragon Quest V: Hand of the Heavenly Bride</t>
  </si>
  <si>
    <t>Dragon Quest VI: Realms of Revelation</t>
  </si>
  <si>
    <t>14th Feb 11</t>
  </si>
  <si>
    <t>Kingdom Hearts 358/2 Days</t>
  </si>
  <si>
    <t>29th Sep 09</t>
  </si>
  <si>
    <t>Super Princess Peach</t>
  </si>
  <si>
    <t>27th Feb 06</t>
  </si>
  <si>
    <t>Ben 10: Protector of Earth</t>
  </si>
  <si>
    <t>30th Oct 07</t>
  </si>
  <si>
    <t>Cooking Mama 3: Shop &amp; Chop</t>
  </si>
  <si>
    <t>505 Games</t>
  </si>
  <si>
    <t>Kanshuu Nippon Joushikiryoku Kentei Kyoukai: Imasara Hito ni wa Kikenai Otona no Joushikiryoku Training DS</t>
  </si>
  <si>
    <t>26th Oct 06</t>
  </si>
  <si>
    <t>SpongeBob's Atlantis SquarePantis</t>
  </si>
  <si>
    <t>Dragon Quest IV: Chapters of the Chosen</t>
  </si>
  <si>
    <t>Diddy Kong Racing DS</t>
  </si>
  <si>
    <t>05th Feb 07</t>
  </si>
  <si>
    <t>Guitar Hero: On Tour Decades</t>
  </si>
  <si>
    <t>Moshi Monsters: Moshling Zoo</t>
  </si>
  <si>
    <t>06th Nov 11</t>
  </si>
  <si>
    <t>High School Musical 3: Senior Year</t>
  </si>
  <si>
    <t>21st Oct 08</t>
  </si>
  <si>
    <t>Hannah Montana: Music Jam</t>
  </si>
  <si>
    <t>16th Oct 07</t>
  </si>
  <si>
    <t>MySims Kingdom</t>
  </si>
  <si>
    <t>Practise English!</t>
  </si>
  <si>
    <t>26th Oct 07</t>
  </si>
  <si>
    <t>Pokémon Ranger: Guardian Signs</t>
  </si>
  <si>
    <t>04th Oct 10</t>
  </si>
  <si>
    <t>Disney Fairies: Tinker Bell</t>
  </si>
  <si>
    <t>Mario vs. Donkey Kong 2: March of the Minis</t>
  </si>
  <si>
    <t>25th Sep 06</t>
  </si>
  <si>
    <t>The Simpsons Game</t>
  </si>
  <si>
    <t>Sonic Colors</t>
  </si>
  <si>
    <t>Pokémon Mystery Dungeon: Explorers of Sky</t>
  </si>
  <si>
    <t>12th Oct 09</t>
  </si>
  <si>
    <t>Bratz: Forever Diamondz</t>
  </si>
  <si>
    <t>Drawn To Life: SpongeBob SquarePants Edition</t>
  </si>
  <si>
    <t>15th Sep 08</t>
  </si>
  <si>
    <t>LEGO Battles: Ninjago</t>
  </si>
  <si>
    <t>12th Apr 11</t>
  </si>
  <si>
    <t>Tamagotchi Connection: Corner Shop</t>
  </si>
  <si>
    <t>Bandai</t>
  </si>
  <si>
    <t>31st Jan 06</t>
  </si>
  <si>
    <t>Imagine: Master Chef</t>
  </si>
  <si>
    <t>Super Scribblenauts</t>
  </si>
  <si>
    <t>Mario Kart 7</t>
  </si>
  <si>
    <t>3DS</t>
  </si>
  <si>
    <t>04th Dec 11</t>
  </si>
  <si>
    <t>Pokémon X/Y</t>
  </si>
  <si>
    <t>12th Oct 13</t>
  </si>
  <si>
    <t>Pokémon Sun/Moon</t>
  </si>
  <si>
    <t>18th Nov 16</t>
  </si>
  <si>
    <t>03rd Aug 18</t>
  </si>
  <si>
    <t>Pokémon Omega Ruby/Pokémon Alpha Sapphire</t>
  </si>
  <si>
    <t>21st Nov 14</t>
  </si>
  <si>
    <t>New Super Mario Bros. 2</t>
  </si>
  <si>
    <t>19th Aug 12</t>
  </si>
  <si>
    <t>Animal Crossing: New Leaf</t>
  </si>
  <si>
    <t>09th Jun 13</t>
  </si>
  <si>
    <t>02nd Jan 18</t>
  </si>
  <si>
    <t>Super Mario 3D Land</t>
  </si>
  <si>
    <t>13th Nov 11</t>
  </si>
  <si>
    <t>Super Smash Bros. for 3DS</t>
  </si>
  <si>
    <t>03rd Oct 14</t>
  </si>
  <si>
    <t>11th Apr 18</t>
  </si>
  <si>
    <t>Pokémon: Ultra Sun and Ultra Moon</t>
  </si>
  <si>
    <t>Yokai Watch 2: Bony Spirits / Fleshy Souls / Psychic Specters</t>
  </si>
  <si>
    <t>30th Sep 16</t>
  </si>
  <si>
    <t>Tomodachi Life</t>
  </si>
  <si>
    <t>06th Jun 14</t>
  </si>
  <si>
    <t>Luigi's Mansion: Dark Moon</t>
  </si>
  <si>
    <t>24th Mar 13</t>
  </si>
  <si>
    <t>The Legend of Zelda: Ocarina of Time 3D</t>
  </si>
  <si>
    <t>19th Jun 11</t>
  </si>
  <si>
    <t>Nintendogs + cats</t>
  </si>
  <si>
    <t>27th Mar 11</t>
  </si>
  <si>
    <t>Monster Hunter Generations</t>
  </si>
  <si>
    <t>15th Jul 16</t>
  </si>
  <si>
    <t>The Legend of Zelda: A Link Between Worlds</t>
  </si>
  <si>
    <t>22nd Nov 13</t>
  </si>
  <si>
    <t>Monster Hunter 4 Ultimate</t>
  </si>
  <si>
    <t>13th Feb 15</t>
  </si>
  <si>
    <t>Monster Hunter 4</t>
  </si>
  <si>
    <t>14th Sep 13</t>
  </si>
  <si>
    <t>07th Jan 19</t>
  </si>
  <si>
    <t>Super Mario Maker</t>
  </si>
  <si>
    <t>02nd Dec 16</t>
  </si>
  <si>
    <t>29th Mar 18</t>
  </si>
  <si>
    <t>Animal Crossing: Happy Home Designer</t>
  </si>
  <si>
    <t>25th Sep 15</t>
  </si>
  <si>
    <t>The Legend of Zelda: Majora's Mask 3D</t>
  </si>
  <si>
    <t>31st Jan 18</t>
  </si>
  <si>
    <t>Fire Emblem Fates</t>
  </si>
  <si>
    <t>19th Feb 16</t>
  </si>
  <si>
    <t>Bravely Default: Flying Fairy</t>
  </si>
  <si>
    <t>07th Feb 14</t>
  </si>
  <si>
    <t>Yokai Watch</t>
  </si>
  <si>
    <t>Mario Party: Island Tour</t>
  </si>
  <si>
    <t>04th Aug 20</t>
  </si>
  <si>
    <t>Donkey Kong Country Returns 3D</t>
  </si>
  <si>
    <t>24th May 13</t>
  </si>
  <si>
    <t>Mario &amp; Luigi: Dream Team</t>
  </si>
  <si>
    <t>11th Aug 13</t>
  </si>
  <si>
    <t>28th Aug 18</t>
  </si>
  <si>
    <t>Kirby: Triple Deluxe</t>
  </si>
  <si>
    <t>02nd May 14</t>
  </si>
  <si>
    <t>Monster Hunter 3G</t>
  </si>
  <si>
    <t>19th Mar 13</t>
  </si>
  <si>
    <t>Paper Mario: Sticker Star</t>
  </si>
  <si>
    <t>11th Nov 12</t>
  </si>
  <si>
    <t>Fire Emblem: Awakening</t>
  </si>
  <si>
    <t>04th Feb 13</t>
  </si>
  <si>
    <t>Yokai Watch Blasters: Red Cat Corps / White Dog Squad</t>
  </si>
  <si>
    <t>09th Sep 18</t>
  </si>
  <si>
    <t>Yokai Watch 3: Sushi / Tempura / Sukiyaki</t>
  </si>
  <si>
    <t>16th Jul 16</t>
  </si>
  <si>
    <t>Yoshi's New Island</t>
  </si>
  <si>
    <t>14th Mar 14</t>
  </si>
  <si>
    <t>01st Feb 18</t>
  </si>
  <si>
    <t>LEGO City Undercover: The Chase Begins</t>
  </si>
  <si>
    <t>21st Apr 13</t>
  </si>
  <si>
    <t>Dragon Quest XI</t>
  </si>
  <si>
    <t>29th Jul 17</t>
  </si>
  <si>
    <t>Monster Hunter Double Cross</t>
  </si>
  <si>
    <t>18th Mar 17</t>
  </si>
  <si>
    <t>Tomodachi Collection: New Life</t>
  </si>
  <si>
    <t>13th Apr 13</t>
  </si>
  <si>
    <t>Pokémon Super Mystery Dungeon</t>
  </si>
  <si>
    <t>20th Nov 15</t>
  </si>
  <si>
    <t>Kirby: Planet Robobot</t>
  </si>
  <si>
    <t>10th Jun 16</t>
  </si>
  <si>
    <t>Dragon Quest VII: Fragments of the Forgotten Past</t>
  </si>
  <si>
    <t>Mario Tennis Open</t>
  </si>
  <si>
    <t>20th May 12</t>
  </si>
  <si>
    <t>03rd May 19</t>
  </si>
  <si>
    <t>Puzzle &amp; Dragons</t>
  </si>
  <si>
    <t>GungHo Online Entertainment</t>
  </si>
  <si>
    <t>12th Dec 13</t>
  </si>
  <si>
    <t>Puzzle &amp; Dragons Z + Super Mario Bros. Edition</t>
  </si>
  <si>
    <t>22nd May 15</t>
  </si>
  <si>
    <t>17th Jul 18</t>
  </si>
  <si>
    <t>Professor Layton and the Mask of Miracle</t>
  </si>
  <si>
    <t>28th Oct 12</t>
  </si>
  <si>
    <t>Style Savvy: Trendsetters</t>
  </si>
  <si>
    <t>22nd Oct 12</t>
  </si>
  <si>
    <t>07th Jan 18</t>
  </si>
  <si>
    <t>Style Savvy: Fashion Forward</t>
  </si>
  <si>
    <t>19th Aug 16</t>
  </si>
  <si>
    <t>Pokémon Rumble Blast</t>
  </si>
  <si>
    <t>24th Oct 11</t>
  </si>
  <si>
    <t>Pokémon Mystery Dungeon: Gates to Infinity</t>
  </si>
  <si>
    <t>Kid Icarus: Uprising</t>
  </si>
  <si>
    <t>23rd Mar 12</t>
  </si>
  <si>
    <t>The Legend of Zelda: Tri Force Heroes</t>
  </si>
  <si>
    <t>Kingdom Hearts 3D: Dream Drop Distance</t>
  </si>
  <si>
    <t>31st Jul 12</t>
  </si>
  <si>
    <t>Super Street Fighter IV: 3D Edition</t>
  </si>
  <si>
    <t>28th Jul 17</t>
  </si>
  <si>
    <t>Mario &amp; Sonic at the London 2012 Olympic Games</t>
  </si>
  <si>
    <t>14th Feb 12</t>
  </si>
  <si>
    <t>Dragon Quest VIII: Journey of the Cursed King</t>
  </si>
  <si>
    <t>20th Jan 17</t>
  </si>
  <si>
    <t>LEGO Star Wars III: The Clone Wars</t>
  </si>
  <si>
    <t>Fantasy Life</t>
  </si>
  <si>
    <t>24th Oct 14</t>
  </si>
  <si>
    <t>Mario &amp; Luigi: Paper Jam</t>
  </si>
  <si>
    <t>22nd Jan 16</t>
  </si>
  <si>
    <t>Star Fox 64 3D</t>
  </si>
  <si>
    <t>09th Sep 11</t>
  </si>
  <si>
    <t>Sonic Generations</t>
  </si>
  <si>
    <t>22nd Nov 11</t>
  </si>
  <si>
    <t>Lego Marvel Super Heroes: Universe in Peril</t>
  </si>
  <si>
    <t>22nd Oct 13</t>
  </si>
  <si>
    <t>Rhythm Heaven Megamix</t>
  </si>
  <si>
    <t>15th Jun 16</t>
  </si>
  <si>
    <t>Fire Emblem Echoes: Shadows of Valentia</t>
  </si>
  <si>
    <t>19th May 17</t>
  </si>
  <si>
    <t>Monster Strike 3DS</t>
  </si>
  <si>
    <t>mixi, Inc</t>
  </si>
  <si>
    <t>17th Dec 15</t>
  </si>
  <si>
    <t>PilotWings Resort</t>
  </si>
  <si>
    <t>Harvest Moon 3D: A New Beginning</t>
  </si>
  <si>
    <t>06th Nov 12</t>
  </si>
  <si>
    <t>Dragon Quest Monsters: Terry's Wonderland 3D</t>
  </si>
  <si>
    <t>31st May 12</t>
  </si>
  <si>
    <t>Resident Evil: Revelations</t>
  </si>
  <si>
    <t>07th Feb 12</t>
  </si>
  <si>
    <t>Mario Party: Star Rush</t>
  </si>
  <si>
    <t>LEGO Batman 2: DC Super Heroes</t>
  </si>
  <si>
    <t>26th Jun 12</t>
  </si>
  <si>
    <t>02nd Jan 19</t>
  </si>
  <si>
    <t>LEGO Jurassic World</t>
  </si>
  <si>
    <t>12th Jun 15</t>
  </si>
  <si>
    <t>Professor Layton vs Ace Attorney</t>
  </si>
  <si>
    <t>29th Aug 14</t>
  </si>
  <si>
    <t>Yokai Watch 3: Sukiyaki</t>
  </si>
  <si>
    <t>02nd Feb 19</t>
  </si>
  <si>
    <t>Professor Layton and the Azran Legacy</t>
  </si>
  <si>
    <t>28th Feb 14</t>
  </si>
  <si>
    <t>Dragon Quest Monsters 2</t>
  </si>
  <si>
    <t>06th Feb 14</t>
  </si>
  <si>
    <t>The LEGO Movie Videogame</t>
  </si>
  <si>
    <t>20th Mar 18</t>
  </si>
  <si>
    <t>Mario &amp; Sonic at the Rio 2016 Olympic Games</t>
  </si>
  <si>
    <t>18th Mar 16</t>
  </si>
  <si>
    <t>05th Apr 18</t>
  </si>
  <si>
    <t>Bravely Second: End Layer</t>
  </si>
  <si>
    <t>15th Apr 16</t>
  </si>
  <si>
    <t>08th Jan 18</t>
  </si>
  <si>
    <t>Monster Hunter Stories</t>
  </si>
  <si>
    <t>08th Sep 17</t>
  </si>
  <si>
    <t>23rd May 18</t>
  </si>
  <si>
    <t>Mario Party: The Top 100</t>
  </si>
  <si>
    <t>Rune Factory 4</t>
  </si>
  <si>
    <t>Xseed Games</t>
  </si>
  <si>
    <t>Frozen: Olaf's Quest</t>
  </si>
  <si>
    <t>GameMill Entertainment</t>
  </si>
  <si>
    <t>12th Nov 13</t>
  </si>
  <si>
    <t>Angry Birds Trilogy</t>
  </si>
  <si>
    <t>Dragon Quest Monsters Joker 3</t>
  </si>
  <si>
    <t>24th Mar 16</t>
  </si>
  <si>
    <t>Rayman 3D</t>
  </si>
  <si>
    <t>22nd Mar 11</t>
  </si>
  <si>
    <t>Scribblenauts: Unlimited</t>
  </si>
  <si>
    <t>LEGO Pirates of the Caribbean: The Video Game</t>
  </si>
  <si>
    <t>10th May 11</t>
  </si>
  <si>
    <t>Cooking Mama 4: Kitchen Magic!</t>
  </si>
  <si>
    <t>Tousouchuu: Shijou Saikyou no Hunter-Tachi Kara Nigekire!</t>
  </si>
  <si>
    <t>05th Jul 12</t>
  </si>
  <si>
    <t>Shin Megami Tensei IV</t>
  </si>
  <si>
    <t>16th Jul 13</t>
  </si>
  <si>
    <t>Final Fantasy Explorers</t>
  </si>
  <si>
    <t>26th Jan 16</t>
  </si>
  <si>
    <t>Skylanders: Spyro's Adventure</t>
  </si>
  <si>
    <t>16th Oct 11</t>
  </si>
  <si>
    <t>Disney Magic World 2</t>
  </si>
  <si>
    <t>14th Oct 16</t>
  </si>
  <si>
    <t>Yokai Sangokushi</t>
  </si>
  <si>
    <t>02nd Apr 16</t>
  </si>
  <si>
    <t>Xenoblade Chronicles</t>
  </si>
  <si>
    <t>10th Apr 15</t>
  </si>
  <si>
    <t>Metroid: Samus Returns</t>
  </si>
  <si>
    <t>15th Sep 17</t>
  </si>
  <si>
    <t>21st Sep 18</t>
  </si>
  <si>
    <t>Layton's Mystery Journey: Katrielle and the Millionaire's Conspiracy</t>
  </si>
  <si>
    <t>06th Oct 17</t>
  </si>
  <si>
    <t>Inazuma Eleven GO: Dark / Shine</t>
  </si>
  <si>
    <t>15th Dec 11</t>
  </si>
  <si>
    <t>Counter-Strike: Global Offensive</t>
  </si>
  <si>
    <t>PC</t>
  </si>
  <si>
    <t>Valve</t>
  </si>
  <si>
    <t>21st Aug 12</t>
  </si>
  <si>
    <t>26th Mar 19</t>
  </si>
  <si>
    <t>PLAYERUNKNOWN'S BATTLEGROUNDS</t>
  </si>
  <si>
    <t>PUBG Corporation</t>
  </si>
  <si>
    <t>21st Dec 17</t>
  </si>
  <si>
    <t>29th Apr 19</t>
  </si>
  <si>
    <t>10th May 10</t>
  </si>
  <si>
    <t>Terraria</t>
  </si>
  <si>
    <t>Re-Logic</t>
  </si>
  <si>
    <t>16th May 11</t>
  </si>
  <si>
    <t>19th Mar 18</t>
  </si>
  <si>
    <t>26th Feb 16</t>
  </si>
  <si>
    <t>Garry's Mod</t>
  </si>
  <si>
    <t>29th Nov 06</t>
  </si>
  <si>
    <t>25th Dec 19</t>
  </si>
  <si>
    <t>Counter-Strike: Source</t>
  </si>
  <si>
    <t>16th Nov 04</t>
  </si>
  <si>
    <t>Palworld</t>
  </si>
  <si>
    <t>Pocketpair</t>
  </si>
  <si>
    <t>19th Jan 24</t>
  </si>
  <si>
    <t>Portal 2</t>
  </si>
  <si>
    <t>Diablo III</t>
  </si>
  <si>
    <t>15th May 12</t>
  </si>
  <si>
    <t>Half-Life 2</t>
  </si>
  <si>
    <t>World of Warcraft</t>
  </si>
  <si>
    <t>23rd Nov 04</t>
  </si>
  <si>
    <t>22nd Apr 18</t>
  </si>
  <si>
    <t>Fall Guys: Ultimate Knockout</t>
  </si>
  <si>
    <t>14th Jul 20</t>
  </si>
  <si>
    <t>StarCraft</t>
  </si>
  <si>
    <t>01st Apr 98</t>
  </si>
  <si>
    <t>23rd Nov 18</t>
  </si>
  <si>
    <t>RollerCoaster Tycoon 3</t>
  </si>
  <si>
    <t>26th Oct 04</t>
  </si>
  <si>
    <t>Valheim</t>
  </si>
  <si>
    <t>Coffee Stain Publishing</t>
  </si>
  <si>
    <t>02nd Feb 21</t>
  </si>
  <si>
    <t>11th Feb 21</t>
  </si>
  <si>
    <t>Portal</t>
  </si>
  <si>
    <t>Valve Corporation</t>
  </si>
  <si>
    <t>09th Apr 08</t>
  </si>
  <si>
    <t>Half-Life</t>
  </si>
  <si>
    <t>Sierra Entertainment</t>
  </si>
  <si>
    <t>19th Nov 98</t>
  </si>
  <si>
    <t>Rust</t>
  </si>
  <si>
    <t>Facepunch Studios</t>
  </si>
  <si>
    <t>08th Feb 18</t>
  </si>
  <si>
    <t>Ready or Not</t>
  </si>
  <si>
    <t>VOID Interactive</t>
  </si>
  <si>
    <t>13th Dec 23</t>
  </si>
  <si>
    <t>12th Jul 19</t>
  </si>
  <si>
    <t>Sid Meier's Civilization V</t>
  </si>
  <si>
    <t>21st Sep 10</t>
  </si>
  <si>
    <t>02nd Jun 09</t>
  </si>
  <si>
    <t>The Binding of Isaac</t>
  </si>
  <si>
    <t>Edmund McMillen</t>
  </si>
  <si>
    <t>28th Sep 11</t>
  </si>
  <si>
    <t>Guild Wars 2</t>
  </si>
  <si>
    <t>NCSoft</t>
  </si>
  <si>
    <t>Guild Wars</t>
  </si>
  <si>
    <t>26th Apr 05</t>
  </si>
  <si>
    <t>Myst</t>
  </si>
  <si>
    <t>Broderbund</t>
  </si>
  <si>
    <t>01st Jan 95</t>
  </si>
  <si>
    <t>StarCraft II: Wings of Liberty</t>
  </si>
  <si>
    <t>27th Jul 10</t>
  </si>
  <si>
    <t>25th Jun 18</t>
  </si>
  <si>
    <t>Euro Truck Simulator 2</t>
  </si>
  <si>
    <t>SCS Software</t>
  </si>
  <si>
    <t>16th Jan 13</t>
  </si>
  <si>
    <t>Age of Empires II: HD Edition</t>
  </si>
  <si>
    <t>Microsoft Studios</t>
  </si>
  <si>
    <t>09th Apr 13</t>
  </si>
  <si>
    <t>Arma III</t>
  </si>
  <si>
    <t>Bohemia Interactive</t>
  </si>
  <si>
    <t>12th Sep 13</t>
  </si>
  <si>
    <t>Satisfactory</t>
  </si>
  <si>
    <t>Coffee Stain Studios</t>
  </si>
  <si>
    <t>18th Mar 19</t>
  </si>
  <si>
    <t>07th Jun 19</t>
  </si>
  <si>
    <t>The Forest</t>
  </si>
  <si>
    <t>Endnight Games Ltd</t>
  </si>
  <si>
    <t>30th May 14</t>
  </si>
  <si>
    <t>27th Feb 23</t>
  </si>
  <si>
    <t>Microsoft Flight Simulator</t>
  </si>
  <si>
    <t>Microsoft</t>
  </si>
  <si>
    <t>31st Oct 96</t>
  </si>
  <si>
    <t>Cities: Skylines</t>
  </si>
  <si>
    <t>Paradox Interactive</t>
  </si>
  <si>
    <t>10th Mar 15</t>
  </si>
  <si>
    <t>Killing Floor</t>
  </si>
  <si>
    <t>Tripwire Interactive</t>
  </si>
  <si>
    <t>14th May 09</t>
  </si>
  <si>
    <t>PEAK</t>
  </si>
  <si>
    <t>Aggro Crab</t>
  </si>
  <si>
    <t>16th Jun 25</t>
  </si>
  <si>
    <t>23rd Jun 25</t>
  </si>
  <si>
    <t>Sea of Thieves</t>
  </si>
  <si>
    <t>01st Oct 18</t>
  </si>
  <si>
    <t>SimCity 3000</t>
  </si>
  <si>
    <t>15th Mar 98</t>
  </si>
  <si>
    <t>World of Warcraft: Cataclysm</t>
  </si>
  <si>
    <t>07th Dec 10</t>
  </si>
  <si>
    <t>Left 4 Dead</t>
  </si>
  <si>
    <t>17th Oct 08</t>
  </si>
  <si>
    <t>BioShock Infinite</t>
  </si>
  <si>
    <t>26th Mar 13</t>
  </si>
  <si>
    <t>Arma 2: Operation Arrowhead</t>
  </si>
  <si>
    <t>Meridian4</t>
  </si>
  <si>
    <t>01st Feb 19</t>
  </si>
  <si>
    <t>ARK: Survival Evolved</t>
  </si>
  <si>
    <t>Studio Wildcard</t>
  </si>
  <si>
    <t>02nd Jun 15</t>
  </si>
  <si>
    <t>Riven: The Sequel to Myst</t>
  </si>
  <si>
    <t>Red Orb</t>
  </si>
  <si>
    <t>29th Oct 97</t>
  </si>
  <si>
    <t>Warcraft III: Reign of Chaos</t>
  </si>
  <si>
    <t>03rd Jul 02</t>
  </si>
  <si>
    <t>Starbound</t>
  </si>
  <si>
    <t>Infocom, Inc.</t>
  </si>
  <si>
    <t>01st Jan 14</t>
  </si>
  <si>
    <t>Counter-Strike</t>
  </si>
  <si>
    <t>Sierra Studios</t>
  </si>
  <si>
    <t>08th Nov 00</t>
  </si>
  <si>
    <t>7 Days to Die</t>
  </si>
  <si>
    <t>The Fun Pimps</t>
  </si>
  <si>
    <t>13th Dec 13</t>
  </si>
  <si>
    <t>Just Cause 2</t>
  </si>
  <si>
    <t>23rd Mar 10</t>
  </si>
  <si>
    <t>The Sims 4</t>
  </si>
  <si>
    <t>02nd Sep 14</t>
  </si>
  <si>
    <t>DayZ</t>
  </si>
  <si>
    <t>09th Jul 12</t>
  </si>
  <si>
    <t>20th Dec 20</t>
  </si>
  <si>
    <t>Diablo II</t>
  </si>
  <si>
    <t>29th Jun 00</t>
  </si>
  <si>
    <t>V Rising</t>
  </si>
  <si>
    <t>Stunlock Studios</t>
  </si>
  <si>
    <t>17th May 22</t>
  </si>
  <si>
    <t>24th May 22</t>
  </si>
  <si>
    <t>Warhammer 40,000: Dawn of War</t>
  </si>
  <si>
    <t>20th Sep 04</t>
  </si>
  <si>
    <t>Who Wants to be a Millionaire</t>
  </si>
  <si>
    <t>23rd Nov 99</t>
  </si>
  <si>
    <t>World of Warcraft: Wrath of the Lich King</t>
  </si>
  <si>
    <t>13th Nov 08</t>
  </si>
  <si>
    <t>Zoo Tycoon</t>
  </si>
  <si>
    <t>18th Oct 01</t>
  </si>
  <si>
    <t>Half-Life 2: Episode One</t>
  </si>
  <si>
    <t>01st Jun 06</t>
  </si>
  <si>
    <t>The Sims: Unleashed</t>
  </si>
  <si>
    <t>23rd Sep 02</t>
  </si>
  <si>
    <t>Diablo III: Reaper of Souls</t>
  </si>
  <si>
    <t>25th Mar 14</t>
  </si>
  <si>
    <t>10th Jan 19</t>
  </si>
  <si>
    <t>World of Warcraft: Shadowlands</t>
  </si>
  <si>
    <t>24th Oct 20</t>
  </si>
  <si>
    <t>Doom II</t>
  </si>
  <si>
    <t>GT Interactive</t>
  </si>
  <si>
    <t>30th Sep 94</t>
  </si>
  <si>
    <t>BattleBlock Theater</t>
  </si>
  <si>
    <t>The Behemoth</t>
  </si>
  <si>
    <t>15th May 14</t>
  </si>
  <si>
    <t>Undertale</t>
  </si>
  <si>
    <t>Toby Fox</t>
  </si>
  <si>
    <t>World of Warcraft: The Burning Crusade</t>
  </si>
  <si>
    <t>16th Jan 07</t>
  </si>
  <si>
    <t>06th Feb 16</t>
  </si>
  <si>
    <t>World of Warcraft: Battle for Azeroth</t>
  </si>
  <si>
    <t>14th Aug 18</t>
  </si>
  <si>
    <t>19th Apr 18</t>
  </si>
  <si>
    <t>PlayStation Mobile Inc.</t>
  </si>
  <si>
    <t>07th Aug 20</t>
  </si>
  <si>
    <t>World of Warcraft: Legion</t>
  </si>
  <si>
    <t>29th Aug 16</t>
  </si>
  <si>
    <t>World of Warcraft: Warlords of Draenor</t>
  </si>
  <si>
    <t>Activision Blizzard</t>
  </si>
  <si>
    <t>13th Nov 14</t>
  </si>
  <si>
    <t>11th Apr 16</t>
  </si>
  <si>
    <t>Dark Souls: Prepare to Die Edition</t>
  </si>
  <si>
    <t>24th Aug 12</t>
  </si>
  <si>
    <t>Half-Life 2: Episode Two</t>
  </si>
  <si>
    <t>Valve Software</t>
  </si>
  <si>
    <t>10th Oct 07</t>
  </si>
  <si>
    <t>Total War: Three Kingdoms</t>
  </si>
  <si>
    <t>23rd May 19</t>
  </si>
  <si>
    <t>15th May 07</t>
  </si>
  <si>
    <t>The Sims: Vacation</t>
  </si>
  <si>
    <t>25th Mar 02</t>
  </si>
  <si>
    <t>Age of Empires</t>
  </si>
  <si>
    <t>30th Sep 97</t>
  </si>
  <si>
    <t>Crysis</t>
  </si>
  <si>
    <t>Dishonored</t>
  </si>
  <si>
    <t>16th Apr 13</t>
  </si>
  <si>
    <t>Manor Lords</t>
  </si>
  <si>
    <t>Hooded Horse</t>
  </si>
  <si>
    <t>26th Apr 24</t>
  </si>
  <si>
    <t>28th Apr 24</t>
  </si>
  <si>
    <t>Sid Meier's Civilization IV</t>
  </si>
  <si>
    <t>Space Engineers</t>
  </si>
  <si>
    <t>Keen Software House</t>
  </si>
  <si>
    <t>28th Feb 19</t>
  </si>
  <si>
    <t>13th Sep 18</t>
  </si>
  <si>
    <t>Squad</t>
  </si>
  <si>
    <t>Offworld Industries</t>
  </si>
  <si>
    <t>15th Dec 15</t>
  </si>
  <si>
    <t>29th Aug 19</t>
  </si>
  <si>
    <t>Torchlight II</t>
  </si>
  <si>
    <t>Runic Games</t>
  </si>
  <si>
    <t>20th Sep 12</t>
  </si>
  <si>
    <t>Warcraft II: Tides of Darkness</t>
  </si>
  <si>
    <t>30th Apr 96</t>
  </si>
  <si>
    <t>30th Nov 95</t>
  </si>
  <si>
    <t>The Sims: Livin Large</t>
  </si>
  <si>
    <t>27th Aug 00</t>
  </si>
  <si>
    <t>Super Meat Boy</t>
  </si>
  <si>
    <t>Unknown</t>
  </si>
  <si>
    <t>30th Nov 10</t>
  </si>
  <si>
    <t>Counter-Strike: Condition Zero</t>
  </si>
  <si>
    <t>23rd Mar 04</t>
  </si>
  <si>
    <t>Subnautica</t>
  </si>
  <si>
    <t>Unknown Worlds Entertainment</t>
  </si>
  <si>
    <t>14th Feb 18</t>
  </si>
  <si>
    <t>Prison Architect</t>
  </si>
  <si>
    <t>Introversion Software</t>
  </si>
  <si>
    <t>06th Oct 15</t>
  </si>
  <si>
    <t>18th Aug 18</t>
  </si>
  <si>
    <t>The Walking Dead: A Telltale Games Series</t>
  </si>
  <si>
    <t>Telltale Games</t>
  </si>
  <si>
    <t>11th Dec 12</t>
  </si>
  <si>
    <t>10th May 18</t>
  </si>
  <si>
    <t>Baldur's Gate</t>
  </si>
  <si>
    <t>Interplay</t>
  </si>
  <si>
    <t>30th Nov 98</t>
  </si>
  <si>
    <t>Infestation: Survivor Stories</t>
  </si>
  <si>
    <t>17th Mar 20</t>
  </si>
  <si>
    <t>Magicka</t>
  </si>
  <si>
    <t>25th Jan 11</t>
  </si>
  <si>
    <t>Trine 2</t>
  </si>
  <si>
    <t>Frozenbyte</t>
  </si>
  <si>
    <t>07th Dec 11</t>
  </si>
  <si>
    <t>The Binding of Isaac: Rebirth</t>
  </si>
  <si>
    <t>Nicalis</t>
  </si>
  <si>
    <t>06th Aug 18</t>
  </si>
  <si>
    <t>Divinity: Original Sin</t>
  </si>
  <si>
    <t>Focus Home Interactive</t>
  </si>
  <si>
    <t>27th Oct 15</t>
  </si>
  <si>
    <t>1602 A.D.</t>
  </si>
  <si>
    <t>Sunflowers</t>
  </si>
  <si>
    <t>01st Feb 00</t>
  </si>
  <si>
    <t>World of Warcraft: Mists of Pandaria</t>
  </si>
  <si>
    <t>Hotline Miami</t>
  </si>
  <si>
    <t>23rd Oct 12</t>
  </si>
  <si>
    <t>Bastion</t>
  </si>
  <si>
    <t>16th Aug 11</t>
  </si>
  <si>
    <t>Black &amp; White</t>
  </si>
  <si>
    <t>26th Mar 01</t>
  </si>
  <si>
    <t>Quantic Dream</t>
  </si>
  <si>
    <t>12th Dec 19</t>
  </si>
  <si>
    <t>Diablo</t>
  </si>
  <si>
    <t>30th Nov 96</t>
  </si>
  <si>
    <t>Factorio</t>
  </si>
  <si>
    <t>Wube Software LTD.</t>
  </si>
  <si>
    <t>01st Jan 16</t>
  </si>
  <si>
    <t>06th Feb 21</t>
  </si>
  <si>
    <t>Far Cry</t>
  </si>
  <si>
    <t>God of War</t>
  </si>
  <si>
    <t>PlayStation PC</t>
  </si>
  <si>
    <t>14th Jan 22</t>
  </si>
  <si>
    <t>Planet Coaster</t>
  </si>
  <si>
    <t>Frontier Developments</t>
  </si>
  <si>
    <t>17th Nov 16</t>
  </si>
  <si>
    <t>Warcraft III: The Frozen Throne</t>
  </si>
  <si>
    <t>01st Jul 03</t>
  </si>
  <si>
    <t>Rise of the Tomb Raider</t>
  </si>
  <si>
    <t>28th Jan 16</t>
  </si>
  <si>
    <t>Dustforce DX</t>
  </si>
  <si>
    <t>Hitbox Team</t>
  </si>
  <si>
    <t>17th Jan 12</t>
  </si>
  <si>
    <t>Dungeon Defenders</t>
  </si>
  <si>
    <t>Trendy Entertainment</t>
  </si>
  <si>
    <t>19th Oct 11</t>
  </si>
  <si>
    <t>Battlefield 1942</t>
  </si>
  <si>
    <t>10th Sep 02</t>
  </si>
  <si>
    <t>Command &amp; Conquer: Tiberian Sun</t>
  </si>
  <si>
    <t>Westwood Studios</t>
  </si>
  <si>
    <t>24th Aug 99</t>
  </si>
  <si>
    <t>Theme Hospital</t>
  </si>
  <si>
    <t>31st Mar 97</t>
  </si>
  <si>
    <t>Monopoly</t>
  </si>
  <si>
    <t>Hasbro Interactive</t>
  </si>
  <si>
    <t>Sleeping Dogs</t>
  </si>
  <si>
    <t>14th Aug 12</t>
  </si>
  <si>
    <t>07th Mar 18</t>
  </si>
  <si>
    <t>Total War: Warhammer III</t>
  </si>
  <si>
    <t>17th Feb 22</t>
  </si>
  <si>
    <t>13th Sep 21</t>
  </si>
  <si>
    <t>Mafia II</t>
  </si>
  <si>
    <t>24th Aug 10</t>
  </si>
  <si>
    <t>Papers, Please</t>
  </si>
  <si>
    <t>3909 LLC</t>
  </si>
  <si>
    <t>13th Aug 13</t>
  </si>
  <si>
    <t>20th Jan 18</t>
  </si>
  <si>
    <t>Tabletop Simulator</t>
  </si>
  <si>
    <t>Berserk Games</t>
  </si>
  <si>
    <t>05th Jun 15</t>
  </si>
  <si>
    <t>18th Feb 18</t>
  </si>
  <si>
    <t>Tomb Raider II</t>
  </si>
  <si>
    <t>31st Oct 97</t>
  </si>
  <si>
    <t>Darksiders: Warmastered Edition</t>
  </si>
  <si>
    <t>THQ Nordic</t>
  </si>
  <si>
    <t>Golf With Your Friends</t>
  </si>
  <si>
    <t>Team 17</t>
  </si>
  <si>
    <t>29th Jan 16</t>
  </si>
  <si>
    <t>Battlefield 2</t>
  </si>
  <si>
    <t>21st Jun 05</t>
  </si>
  <si>
    <t>Darkest Dungeon</t>
  </si>
  <si>
    <t>Red Hook Studios</t>
  </si>
  <si>
    <t>19th Jan 16</t>
  </si>
  <si>
    <t>Content Warning</t>
  </si>
  <si>
    <t>Landfall Games</t>
  </si>
  <si>
    <t>01st Apr 24</t>
  </si>
  <si>
    <t>16th Apr 24</t>
  </si>
  <si>
    <t>Neverwinter Nights</t>
  </si>
  <si>
    <t>16th Jun 02</t>
  </si>
  <si>
    <t>The Sims: House Party</t>
  </si>
  <si>
    <t>Maxis</t>
  </si>
  <si>
    <t>How to Survive 2</t>
  </si>
  <si>
    <t>Banished</t>
  </si>
  <si>
    <t>Falcom</t>
  </si>
  <si>
    <t>SimCity 2000</t>
  </si>
  <si>
    <t>01st Jan 93</t>
  </si>
  <si>
    <t>Total War: WARHAMMER</t>
  </si>
  <si>
    <t>30th May 18</t>
  </si>
  <si>
    <t>Sim Theme Park</t>
  </si>
  <si>
    <t>31st Oct 99</t>
  </si>
  <si>
    <t>Serious Sam 3: BFE</t>
  </si>
  <si>
    <t>Stick Fight: The Game</t>
  </si>
  <si>
    <t>Plague Inc: Evolved</t>
  </si>
  <si>
    <t>Ndemic Creations</t>
  </si>
  <si>
    <t>31st Dec 20</t>
  </si>
  <si>
    <t>1503 A.D.: The New World</t>
  </si>
  <si>
    <t>23rd Mar 03</t>
  </si>
  <si>
    <t>Age of Empires II: The Age of Kings</t>
  </si>
  <si>
    <t>30th Sep 99</t>
  </si>
  <si>
    <t>Age of Empires III</t>
  </si>
  <si>
    <t>Microsoft Game Studios</t>
  </si>
  <si>
    <t>18th Oct 05</t>
  </si>
  <si>
    <t>Baldur's Gate II: Shadows of Amn</t>
  </si>
  <si>
    <t>24th Sep 00</t>
  </si>
  <si>
    <t>Chivalry: Medieval Warfare</t>
  </si>
  <si>
    <t>Media.Vision</t>
  </si>
  <si>
    <t>16th Oct 12</t>
  </si>
  <si>
    <t>01st May 18</t>
  </si>
  <si>
    <t>Command &amp; Conquer: Red Alert</t>
  </si>
  <si>
    <t>Virgin Interactive</t>
  </si>
  <si>
    <t>01st Nov 96</t>
  </si>
  <si>
    <t>Crusader Kings III</t>
  </si>
  <si>
    <t>01st Sep 20</t>
  </si>
  <si>
    <t>Diablo II: Lord of Destruction</t>
  </si>
  <si>
    <t>27th Jun 01</t>
  </si>
  <si>
    <t>Operation Flashpoint: Cold War Crisis</t>
  </si>
  <si>
    <t>Codemasters</t>
  </si>
  <si>
    <t>30th Aug 01</t>
  </si>
  <si>
    <t>S.T.A.L.K.E.R.: Shadow of Chernobyl</t>
  </si>
  <si>
    <t>Sacred</t>
  </si>
  <si>
    <t>Encore</t>
  </si>
  <si>
    <t>25th Mar 04</t>
  </si>
  <si>
    <t>SimCity (2013)</t>
  </si>
  <si>
    <t>06th May 18</t>
  </si>
  <si>
    <t>Sons of the Forest</t>
  </si>
  <si>
    <t>Newnight</t>
  </si>
  <si>
    <t>23rd Feb 23</t>
  </si>
  <si>
    <t>Star Wars: The Old Republic</t>
  </si>
  <si>
    <t>20th Dec 11</t>
  </si>
  <si>
    <t>Surgeon Simulator</t>
  </si>
  <si>
    <t>Bossa Studios</t>
  </si>
  <si>
    <t>19th Apr 13</t>
  </si>
  <si>
    <t>The 7th Guest</t>
  </si>
  <si>
    <t>Stellaris</t>
  </si>
  <si>
    <t>09th May 16</t>
  </si>
  <si>
    <t>Star Wars: Dark Forces</t>
  </si>
  <si>
    <t>28th Feb 95</t>
  </si>
  <si>
    <t>The Sims: Makin' Magic</t>
  </si>
  <si>
    <t>Postal 2</t>
  </si>
  <si>
    <t>Whiptail Interactive</t>
  </si>
  <si>
    <t>14th Apr 03</t>
  </si>
  <si>
    <t>The Long Dark</t>
  </si>
  <si>
    <t>Hinterland Studio Inc.</t>
  </si>
  <si>
    <t>01st Aug 17</t>
  </si>
  <si>
    <t>07th Aug 18</t>
  </si>
  <si>
    <t>Broforce</t>
  </si>
  <si>
    <t>07th Apr 14</t>
  </si>
  <si>
    <t>22nd Apr 14</t>
  </si>
  <si>
    <t>Risk of Rain</t>
  </si>
  <si>
    <t>08th Nov 13</t>
  </si>
  <si>
    <t>Wolfenstein: The New Order</t>
  </si>
  <si>
    <t>20th May 14</t>
  </si>
  <si>
    <t>The Sims: Hot Date</t>
  </si>
  <si>
    <t>21st Nov 01</t>
  </si>
  <si>
    <t>Alan Wake</t>
  </si>
  <si>
    <t>Remedy Entertainment</t>
  </si>
  <si>
    <t>16th Feb 12</t>
  </si>
  <si>
    <t>Mad Max (2013)</t>
  </si>
  <si>
    <t>Ori and the Blind Forest: Definitive Edition</t>
  </si>
  <si>
    <t>Nordic Games</t>
  </si>
  <si>
    <t>14th Jun 16</t>
  </si>
  <si>
    <t>12th Aug 18</t>
  </si>
  <si>
    <t>Max Payne 3</t>
  </si>
  <si>
    <t>29th May 12</t>
  </si>
  <si>
    <t>Cuphead</t>
  </si>
  <si>
    <t>Studio MDHR</t>
  </si>
  <si>
    <t>18th May 21</t>
  </si>
  <si>
    <t>06th Jan 22</t>
  </si>
  <si>
    <t>Dungeon Siege</t>
  </si>
  <si>
    <t>31st Mar 02</t>
  </si>
  <si>
    <t>Human: Fall Flat</t>
  </si>
  <si>
    <t>Game Dev Tycoon</t>
  </si>
  <si>
    <t>Greenheart Games</t>
  </si>
  <si>
    <t>15th Mar 13</t>
  </si>
  <si>
    <t>The Sims 3: Late Night Expansion Pack</t>
  </si>
  <si>
    <t>Planetary Annihilation</t>
  </si>
  <si>
    <t>05th Sep 14</t>
  </si>
  <si>
    <t>The Sims: Superstar</t>
  </si>
  <si>
    <t>Plants vs. Zombies</t>
  </si>
  <si>
    <t>PopCap Games</t>
  </si>
  <si>
    <t>05th May 09</t>
  </si>
  <si>
    <t>L.A. Noire: The Complete Edition</t>
  </si>
  <si>
    <t>AudioSurf</t>
  </si>
  <si>
    <t>Invisible Handlebar</t>
  </si>
  <si>
    <t>15th Feb 08</t>
  </si>
  <si>
    <t>Mark of the Ninja</t>
  </si>
  <si>
    <t>BioShock 2</t>
  </si>
  <si>
    <t>09th Feb 10</t>
  </si>
  <si>
    <t>Hitman</t>
  </si>
  <si>
    <t>11th Mar 16</t>
  </si>
  <si>
    <t>ShellShock Live</t>
  </si>
  <si>
    <t>03rd Feb 19</t>
  </si>
  <si>
    <t>Star Wars Knights of the Old Republic II: The Sith Lords</t>
  </si>
  <si>
    <t>08th Feb 05</t>
  </si>
  <si>
    <t>How to Survive</t>
  </si>
  <si>
    <t>23rd Oct 13</t>
  </si>
  <si>
    <t>vgchartz.com/games/games.php?name=&amp;keyword=&amp;console=GC&amp;region=All&amp;developer=&amp;publisher=&amp;goty_year=&amp;genre=&amp;boxart=Both&amp;banner=Both&amp;ownership=Both&amp;showmultiplat=No&amp;results=100&amp;order=Sales&amp;showtotalsales=0&amp;showtotalsales=1&amp;showpublisher=0&amp;showpublisher=1&amp;showvgchartzscore=0&amp;showvgchartzscore=1&amp;shownasales=0&amp;showdeveloper=0&amp;showcriticscore=0&amp;showcriticscore=1&amp;showpalsales=0&amp;showreleasedate=0&amp;showreleasedate=1&amp;showuserscore=0&amp;showuserscore=1&amp;showjapansales=0&amp;showlastupdate=0&amp;showlastupdate=1&amp;showothersales=0&amp;showshipped=0&amp;showshipped=1</t>
  </si>
  <si>
    <t>Release Year</t>
  </si>
  <si>
    <t>Sales</t>
  </si>
  <si>
    <t>Best Score</t>
  </si>
  <si>
    <t>NDS</t>
  </si>
  <si>
    <t>Mario Kart 8</t>
  </si>
  <si>
    <t>WiiU</t>
  </si>
  <si>
    <t>Super Mario 3D World</t>
  </si>
  <si>
    <t>New Super Mario Bros. U</t>
  </si>
  <si>
    <t>18th Nov 12</t>
  </si>
  <si>
    <t>Super Smash Bros. for Wii U</t>
  </si>
  <si>
    <t>Nintendo Land</t>
  </si>
  <si>
    <t>25th Aug 20</t>
  </si>
  <si>
    <t>Splatoon</t>
  </si>
  <si>
    <t>29th May 15</t>
  </si>
  <si>
    <t>11th Sep 15</t>
  </si>
  <si>
    <t>New Super Luigi U</t>
  </si>
  <si>
    <t>25th Aug 13</t>
  </si>
  <si>
    <t>04th Oct 13</t>
  </si>
  <si>
    <t>Mario Party 10</t>
  </si>
  <si>
    <t>20th Mar 15</t>
  </si>
  <si>
    <t>21st Feb 14</t>
  </si>
  <si>
    <t>22nd Jan 18</t>
  </si>
  <si>
    <t>Wii Party U</t>
  </si>
  <si>
    <t>Yoshi's Woolly World</t>
  </si>
  <si>
    <t>16th Oct 15</t>
  </si>
  <si>
    <t>17th Jun 16</t>
  </si>
  <si>
    <t>05th Dec 14</t>
  </si>
  <si>
    <t>Pikmin 3</t>
  </si>
  <si>
    <t>04th Aug 13</t>
  </si>
  <si>
    <t>The Legend of Zelda: Twilight Princess HD</t>
  </si>
  <si>
    <t>04th Mar 16</t>
  </si>
  <si>
    <t>LEGO City Undercover</t>
  </si>
  <si>
    <t>18th Mar 13</t>
  </si>
  <si>
    <t>Hyrule Warriors</t>
  </si>
  <si>
    <t>26th Sep 14</t>
  </si>
  <si>
    <t>Pokken Tournament</t>
  </si>
  <si>
    <t>Paper Mario: Color Splash</t>
  </si>
  <si>
    <t>Wii Fit U</t>
  </si>
  <si>
    <t>10th Jan 14</t>
  </si>
  <si>
    <t>27th Jan 18</t>
  </si>
  <si>
    <t>Xenoblade Chronicles X</t>
  </si>
  <si>
    <t>04th Dec 15</t>
  </si>
  <si>
    <t>ZombiU</t>
  </si>
  <si>
    <t>Mario &amp; Sonic at the Sochi 2014 Olympic Winter Games</t>
  </si>
  <si>
    <t>Lego Marvel Super Heroes</t>
  </si>
  <si>
    <t>Skylanders: Trap Team</t>
  </si>
  <si>
    <t>05th Oct 14</t>
  </si>
  <si>
    <t>29th Jan 18</t>
  </si>
  <si>
    <t>Just Dance 2015</t>
  </si>
  <si>
    <t>21st Oct 14</t>
  </si>
  <si>
    <t>Monster Hunter 3 Ultimate</t>
  </si>
  <si>
    <t>Disney Infinity 2.0: Marvel Super Heroes</t>
  </si>
  <si>
    <t>Rayman Legends</t>
  </si>
  <si>
    <t>03rd Sep 13</t>
  </si>
  <si>
    <t>Disney Infinity</t>
  </si>
  <si>
    <t>18th Aug 13</t>
  </si>
  <si>
    <t>LEGO Dimensions</t>
  </si>
  <si>
    <t>27th Sep 15</t>
  </si>
  <si>
    <t>Just Dance 2014</t>
  </si>
  <si>
    <t>08th Oct 13</t>
  </si>
  <si>
    <t>08th Mar 18</t>
  </si>
  <si>
    <t>Skylanders SWAP Force</t>
  </si>
  <si>
    <t>13th Oct 13</t>
  </si>
  <si>
    <t>Just Dance 2016</t>
  </si>
  <si>
    <t>20th Oct 15</t>
  </si>
  <si>
    <t>Skylanders: SuperChargers</t>
  </si>
  <si>
    <t>20th Sep 15</t>
  </si>
  <si>
    <t>Kirby and the Rainbow Curse</t>
  </si>
  <si>
    <t>20th Feb 15</t>
  </si>
  <si>
    <t>Disney Infinity 3.0</t>
  </si>
  <si>
    <t>30th Aug 15</t>
  </si>
  <si>
    <t>Mario Tennis Ultra Smash</t>
  </si>
  <si>
    <t>Sonic &amp; Sega All-Stars Racing Transformed</t>
  </si>
  <si>
    <t>14th Sep 20</t>
  </si>
  <si>
    <t>Animal Crossing: Amiibo Festival</t>
  </si>
  <si>
    <t>13th Nov 15</t>
  </si>
  <si>
    <t>24th Jun 16</t>
  </si>
  <si>
    <t>Lego Batman 3: Beyond Gotham</t>
  </si>
  <si>
    <t>Skylanders Imaginators</t>
  </si>
  <si>
    <t>16th Oct 16</t>
  </si>
  <si>
    <t>26th Mar 18</t>
  </si>
  <si>
    <t>Star Fox: Zero</t>
  </si>
  <si>
    <t>22nd Apr 16</t>
  </si>
  <si>
    <t>Just Dance 2017</t>
  </si>
  <si>
    <t>Dragon Quest X</t>
  </si>
  <si>
    <t>30th Mar 13</t>
  </si>
  <si>
    <t>Skylanders Giants</t>
  </si>
  <si>
    <t>16th Jan 18</t>
  </si>
  <si>
    <t>Wii Sports Club</t>
  </si>
  <si>
    <t>25th Jul 14</t>
  </si>
  <si>
    <t>Just Dance 4</t>
  </si>
  <si>
    <t>Batman: Arkham City Armored Edition</t>
  </si>
  <si>
    <t>Sonic Lost World</t>
  </si>
  <si>
    <t>ESPN: Sports Connection</t>
  </si>
  <si>
    <t>The Wonderful 101</t>
  </si>
  <si>
    <t>15th Sep 13</t>
  </si>
  <si>
    <t>08th Sep 20</t>
  </si>
  <si>
    <t>Tokyo Mirage Sessions #FE</t>
  </si>
  <si>
    <t>23rd Jul 20</t>
  </si>
  <si>
    <t>LEGO Marvel's Avengers</t>
  </si>
  <si>
    <t>Sonic Boom: Rise of Lyric</t>
  </si>
  <si>
    <t>22nd Mar 18</t>
  </si>
  <si>
    <t>Sing Party</t>
  </si>
  <si>
    <t>Shovel Knight</t>
  </si>
  <si>
    <t>Yacht Club Games</t>
  </si>
  <si>
    <t>26th Jun 14</t>
  </si>
  <si>
    <t>21st Nov 18</t>
  </si>
  <si>
    <t>Lego Star Wars: The Force Awakens</t>
  </si>
  <si>
    <t>28th Jun 16</t>
  </si>
  <si>
    <t>NES Remix</t>
  </si>
  <si>
    <t>18th Dec 13</t>
  </si>
  <si>
    <t>Mass Effect 3</t>
  </si>
  <si>
    <t>Guitar Hero Live</t>
  </si>
  <si>
    <t>Game &amp; Wario</t>
  </si>
  <si>
    <t>23rd Jun 13</t>
  </si>
  <si>
    <t>Disney Epic Mickey 2: The Power of Two</t>
  </si>
  <si>
    <t>13th Sep 20</t>
  </si>
  <si>
    <t>LEGO The Hobbit</t>
  </si>
  <si>
    <t>08th Apr 14</t>
  </si>
  <si>
    <t>21st May 13</t>
  </si>
  <si>
    <t>Disney's Planes</t>
  </si>
  <si>
    <t>06th Aug 13</t>
  </si>
  <si>
    <t>Injustice: Gods Among Us</t>
  </si>
  <si>
    <t>Taiko no Tatsujin: Wii U Version!</t>
  </si>
  <si>
    <t>21st Nov 13</t>
  </si>
  <si>
    <t>18th Sep 18</t>
  </si>
  <si>
    <t>Tekken Tag Tournament 2</t>
  </si>
  <si>
    <t>21st Apr 18</t>
  </si>
  <si>
    <t>Ninja Gaiden 3: Razor's Edge</t>
  </si>
  <si>
    <t>Just Dance 2018</t>
  </si>
  <si>
    <t>24th Oct 17</t>
  </si>
  <si>
    <t>Darksiders II</t>
  </si>
  <si>
    <t>Your Shape Fitness Evolved 2013</t>
  </si>
  <si>
    <t>Rodea the Sky Soldier</t>
  </si>
  <si>
    <t>NIS America</t>
  </si>
  <si>
    <t>Transformers: Prime</t>
  </si>
  <si>
    <t>06th Jan 19</t>
  </si>
  <si>
    <t>Game Party Champions</t>
  </si>
  <si>
    <t>WipeOut 3 The Game</t>
  </si>
  <si>
    <t>007 Legends</t>
  </si>
  <si>
    <t>Tom Clancy's Splinter Cell: Blacklist</t>
  </si>
  <si>
    <t>20th Aug 13</t>
  </si>
  <si>
    <t>Taiko Drum Master: Tokumori!</t>
  </si>
  <si>
    <t>20th Nov 14</t>
  </si>
  <si>
    <t>The Voice</t>
  </si>
  <si>
    <t>Marvel Avengers: Battle for Earth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</si>
</sst>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3" borderId="2" xfId="0" applyFill="1" applyBorder="1"/>
  </cellXfs>
  <cellStyles count="1">
    <cellStyle name="Normal" xfId="0" builtinId="0"/>
  </cellStyles>
  <dxfs count="2"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008715-9C63-BC43-BDED-D61C0BF8305F}" name="Table1" displayName="Table1" ref="A1:P901" totalsRowShown="0" dataCellStyle="Normal">
  <autoFilter ref="A1:P901" xr:uid="{2A008715-9C63-BC43-BDED-D61C0BF8305F}">
    <filterColumn colId="13">
      <filters>
        <filter val="2022"/>
      </filters>
    </filterColumn>
  </autoFilter>
  <tableColumns count="16">
    <tableColumn id="13" xr3:uid="{85072FC6-FE4C-B042-B6C6-CE6135D8B4B7}" name="ID" dataCellStyle="Normal">
      <calculatedColumnFormula>ROW()-1</calculatedColumnFormula>
    </tableColumn>
    <tableColumn id="1" xr3:uid="{D1719AA7-4588-B942-B00F-D0B6D39DA66C}" name="Rank" dataCellStyle="Normal"/>
    <tableColumn id="2" xr3:uid="{AE039002-4376-114C-84DA-26041F5CD41D}" name="Boxart Missing" dataCellStyle="Normal"/>
    <tableColumn id="3" xr3:uid="{39FBEF3B-B722-3F41-86FC-8F678D208F07}" name="Game" dataCellStyle="Normal"/>
    <tableColumn id="4" xr3:uid="{529EE85C-1837-E84A-8F05-0E39DC1AF840}" name="Console" dataCellStyle="Normal"/>
    <tableColumn id="5" xr3:uid="{8D98E7D0-15DD-EA48-AD82-8232FCFD8378}" name="Publisher" dataCellStyle="Normal"/>
    <tableColumn id="6" xr3:uid="{9EEA8E2F-DDEE-204E-9985-0A42FB5645C4}" name="VGChartz Score" dataCellStyle="Normal"/>
    <tableColumn id="7" xr3:uid="{3CF9D503-79B6-2746-8D80-9250F5F512D2}" name="Critic Score" dataCellStyle="Normal"/>
    <tableColumn id="8" xr3:uid="{E92AACDE-F226-6B41-B323-67A0EE5E76D9}" name="User Score" dataCellStyle="Normal"/>
    <tableColumn id="9" xr3:uid="{781E4AB1-A8F0-FE4B-9226-C0470DEC50EC}" name="Total Shipped" dataDxfId="1" dataCellStyle="Normal"/>
    <tableColumn id="10" xr3:uid="{BD7A6107-1B7C-FD45-B262-8E8DDE753B72}" name="Total Sales" dataDxfId="0" dataCellStyle="Normal"/>
    <tableColumn id="11" xr3:uid="{F653771B-6C5C-A04B-B9FE-9FB8A5F08F38}" name="Release Date" dataCellStyle="Normal"/>
    <tableColumn id="12" xr3:uid="{F71E0555-3266-8A4B-AC41-FA2F555A5DDB}" name="Last Update" dataCellStyle="Normal"/>
    <tableColumn id="14" xr3:uid="{E5BDFDDC-72B2-124B-BFB6-FB376E7E2364}" name="Release Year" dataCellStyle="Normal">
      <calculatedColumnFormula>2000+RIGHT(Table1[[#This Row],[Release Date]],2)</calculatedColumnFormula>
    </tableColumn>
    <tableColumn id="15" xr3:uid="{095FA211-F0A6-C640-BF2F-EA1AF1B03E10}" name="Sales" dataCellStyle="Normal">
      <calculatedColumnFormula>_xlfn.MAXIFS(Table1[[#This Row],[Total Shipped]]:Table1[[#This Row],[Total Sales]],Table1[[#This Row],[Total Shipped]]:Table1[[#This Row],[Total Sales]],"&lt;&gt;#N/A")</calculatedColumnFormula>
    </tableColumn>
    <tableColumn id="16" xr3:uid="{9352664A-0070-A34C-AE94-65861F55D54D}" name="Best Score" dataCellStyle="Normal">
      <calculatedColumnFormula>_xlfn.MAXIFS(Table1[[#This Row],[VGChartz Score]:[User Score]],Table1[[#This Row],[VGChartz Score]:[User Score]],"&lt;&gt;#N/A")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hyperlink" Target="https://www.vgchartz.com/games/games.php?page=1&amp;results=100&amp;console=NS&amp;order=UserScore&amp;ownership=Both&amp;showtotalsales=1&amp;shownasales=0&amp;showpalsales=0&amp;showjapansales=0&amp;showothersales=0&amp;showpublisher=1&amp;showdeveloper=0&amp;showreleasedate=1&amp;showlastupdate=1&amp;showvgchartzscore=1&amp;showcriticscore=1&amp;showuserscore=1&amp;showshipped=1" TargetMode="External"/><Relationship Id="rId7" Type="http://schemas.openxmlformats.org/officeDocument/2006/relationships/hyperlink" Target="https://www.vgchartz.com/games/games.php?page=1&amp;results=100&amp;console=NS&amp;order=LastUpdate&amp;ownership=Both&amp;showtotalsales=1&amp;shownasales=0&amp;showpalsales=0&amp;showjapansales=0&amp;showothersales=0&amp;showpublisher=1&amp;showdeveloper=0&amp;showreleasedate=1&amp;showlastupdate=1&amp;showvgchartzscore=1&amp;showcriticscore=1&amp;showuserscore=1&amp;showshipped=1" TargetMode="External"/><Relationship Id="rId2" Type="http://schemas.openxmlformats.org/officeDocument/2006/relationships/hyperlink" Target="https://www.vgchartz.com/games/games.php?page=1&amp;results=100&amp;console=NS&amp;order=CriticScore&amp;ownership=Both&amp;showtotalsales=1&amp;shownasales=0&amp;showpalsales=0&amp;showjapansales=0&amp;showothersales=0&amp;showpublisher=1&amp;showdeveloper=0&amp;showreleasedate=1&amp;showlastupdate=1&amp;showvgchartzscore=1&amp;showcriticscore=1&amp;showuserscore=1&amp;showshipped=1" TargetMode="External"/><Relationship Id="rId1" Type="http://schemas.openxmlformats.org/officeDocument/2006/relationships/hyperlink" Target="https://www.vgchartz.com/games/games.php?page=1&amp;results=100&amp;console=NS&amp;order=VGChartzScore&amp;ownership=Both&amp;showtotalsales=1&amp;shownasales=0&amp;showpalsales=0&amp;showjapansales=0&amp;showothersales=0&amp;showpublisher=1&amp;showdeveloper=0&amp;showreleasedate=1&amp;showlastupdate=1&amp;showvgchartzscore=1&amp;showcriticscore=1&amp;showuserscore=1&amp;showshipped=1" TargetMode="External"/><Relationship Id="rId6" Type="http://schemas.openxmlformats.org/officeDocument/2006/relationships/hyperlink" Target="https://www.vgchartz.com/games/games.php?page=1&amp;results=100&amp;console=NS&amp;order=ReleaseDate&amp;ownership=Both&amp;showtotalsales=1&amp;shownasales=0&amp;showpalsales=0&amp;showjapansales=0&amp;showothersales=0&amp;showpublisher=1&amp;showdeveloper=0&amp;showreleasedate=1&amp;showlastupdate=1&amp;showvgchartzscore=1&amp;showcriticscore=1&amp;showuserscore=1&amp;showshipped=1" TargetMode="External"/><Relationship Id="rId5" Type="http://schemas.openxmlformats.org/officeDocument/2006/relationships/hyperlink" Target="https://www.vgchartz.com/games/games.php?page=1&amp;results=100&amp;console=NS&amp;order=TotalSales&amp;ownership=Both&amp;showtotalsales=1&amp;shownasales=0&amp;showpalsales=0&amp;showjapansales=0&amp;showothersales=0&amp;showpublisher=1&amp;showdeveloper=0&amp;showreleasedate=1&amp;showlastupdate=1&amp;showvgchartzscore=1&amp;showcriticscore=1&amp;showuserscore=1&amp;showshipped=1" TargetMode="External"/><Relationship Id="rId4" Type="http://schemas.openxmlformats.org/officeDocument/2006/relationships/hyperlink" Target="https://www.vgchartz.com/games/games.php?page=1&amp;results=100&amp;console=NS&amp;order=TotalShipped&amp;ownership=Both&amp;showtotalsales=1&amp;shownasales=0&amp;showpalsales=0&amp;showjapansales=0&amp;showothersales=0&amp;showpublisher=1&amp;showdeveloper=0&amp;showreleasedate=1&amp;showlastupdate=1&amp;showvgchartzscore=1&amp;showcriticscore=1&amp;showuserscore=1&amp;showshipped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CF986-81A1-1541-8939-DA1AA97552B1}">
  <dimension ref="A1:P901"/>
  <sheetViews>
    <sheetView tabSelected="1" workbookViewId="0">
      <selection activeCell="L847" sqref="L847"/>
    </sheetView>
  </sheetViews>
  <sheetFormatPr baseColWidth="10" defaultRowHeight="16" x14ac:dyDescent="0.2"/>
  <cols>
    <col min="2" max="2" width="15.1640625" customWidth="1"/>
    <col min="5" max="5" width="11" customWidth="1"/>
    <col min="6" max="6" width="16.33203125" customWidth="1"/>
    <col min="7" max="7" width="13.1640625" customWidth="1"/>
    <col min="8" max="8" width="12.1640625" customWidth="1"/>
    <col min="9" max="10" width="14.33203125" customWidth="1"/>
    <col min="11" max="11" width="12.1640625" customWidth="1"/>
    <col min="12" max="13" width="14.33203125" customWidth="1"/>
    <col min="14" max="14" width="13" customWidth="1"/>
    <col min="16" max="16" width="15.83203125" customWidth="1"/>
  </cols>
  <sheetData>
    <row r="1" spans="1:16" x14ac:dyDescent="0.2">
      <c r="A1" t="s">
        <v>277</v>
      </c>
      <c r="B1" t="s">
        <v>288</v>
      </c>
      <c r="C1" t="s">
        <v>138</v>
      </c>
      <c r="D1" t="s">
        <v>278</v>
      </c>
      <c r="E1" t="s">
        <v>279</v>
      </c>
      <c r="F1" t="s">
        <v>280</v>
      </c>
      <c r="G1" t="s">
        <v>281</v>
      </c>
      <c r="H1" t="s">
        <v>282</v>
      </c>
      <c r="I1" t="s">
        <v>283</v>
      </c>
      <c r="J1" t="s">
        <v>284</v>
      </c>
      <c r="K1" t="s">
        <v>285</v>
      </c>
      <c r="L1" t="s">
        <v>286</v>
      </c>
      <c r="M1" t="s">
        <v>287</v>
      </c>
      <c r="N1" t="s">
        <v>1750</v>
      </c>
      <c r="O1" t="s">
        <v>1751</v>
      </c>
      <c r="P1" t="s">
        <v>1752</v>
      </c>
    </row>
    <row r="2" spans="1:16" hidden="1" x14ac:dyDescent="0.2">
      <c r="A2">
        <f t="shared" ref="A2:A21" si="0">ROW()-1</f>
        <v>1</v>
      </c>
      <c r="B2">
        <v>1</v>
      </c>
      <c r="C2" t="s">
        <v>138</v>
      </c>
      <c r="D2" t="s">
        <v>718</v>
      </c>
      <c r="E2" t="s">
        <v>719</v>
      </c>
      <c r="F2" t="s">
        <v>1</v>
      </c>
      <c r="G2" t="e">
        <v>#N/A</v>
      </c>
      <c r="H2">
        <v>9.1999999999999993</v>
      </c>
      <c r="I2" t="e">
        <v>#N/A</v>
      </c>
      <c r="J2" s="1">
        <v>7.41</v>
      </c>
      <c r="K2" s="1" t="e">
        <v>#N/A</v>
      </c>
      <c r="L2" t="s">
        <v>720</v>
      </c>
      <c r="M2" t="e">
        <v>#N/A</v>
      </c>
      <c r="N2">
        <f>2000+RIGHT(Table1[[#This Row],[Release Date]],2)</f>
        <v>2001</v>
      </c>
      <c r="O2">
        <f>_xlfn.MAXIFS(Table1[[#This Row],[Total Shipped]]:Table1[[#This Row],[Total Sales]],Table1[[#This Row],[Total Shipped]]:Table1[[#This Row],[Total Sales]],"&lt;&gt;#N/A")</f>
        <v>7.41</v>
      </c>
      <c r="P2">
        <f>_xlfn.MAXIFS(Table1[[#This Row],[VGChartz Score]:[User Score]],Table1[[#This Row],[VGChartz Score]:[User Score]],"&lt;&gt;#N/A")</f>
        <v>9.1999999999999993</v>
      </c>
    </row>
    <row r="3" spans="1:16" hidden="1" x14ac:dyDescent="0.2">
      <c r="A3">
        <f t="shared" si="0"/>
        <v>2</v>
      </c>
      <c r="B3">
        <v>2</v>
      </c>
      <c r="C3" t="s">
        <v>138</v>
      </c>
      <c r="D3" t="s">
        <v>721</v>
      </c>
      <c r="E3" t="s">
        <v>719</v>
      </c>
      <c r="F3" t="s">
        <v>1</v>
      </c>
      <c r="G3" t="e">
        <v>#N/A</v>
      </c>
      <c r="H3">
        <v>8.5</v>
      </c>
      <c r="I3" t="e">
        <v>#N/A</v>
      </c>
      <c r="J3" s="2">
        <v>6.88</v>
      </c>
      <c r="K3" s="2" t="e">
        <v>#N/A</v>
      </c>
      <c r="L3" t="s">
        <v>722</v>
      </c>
      <c r="M3" t="e">
        <v>#N/A</v>
      </c>
      <c r="N3">
        <f>2000+RIGHT(Table1[[#This Row],[Release Date]],2)</f>
        <v>2003</v>
      </c>
      <c r="O3">
        <f>_xlfn.MAXIFS(Table1[[#This Row],[Total Shipped]]:Table1[[#This Row],[Total Sales]],Table1[[#This Row],[Total Shipped]]:Table1[[#This Row],[Total Sales]],"&lt;&gt;#N/A")</f>
        <v>6.88</v>
      </c>
      <c r="P3">
        <f>_xlfn.MAXIFS(Table1[[#This Row],[VGChartz Score]:[User Score]],Table1[[#This Row],[VGChartz Score]:[User Score]],"&lt;&gt;#N/A")</f>
        <v>8.5</v>
      </c>
    </row>
    <row r="4" spans="1:16" hidden="1" x14ac:dyDescent="0.2">
      <c r="A4">
        <f t="shared" si="0"/>
        <v>3</v>
      </c>
      <c r="B4">
        <v>3</v>
      </c>
      <c r="C4" t="s">
        <v>138</v>
      </c>
      <c r="D4" t="s">
        <v>723</v>
      </c>
      <c r="E4" t="s">
        <v>719</v>
      </c>
      <c r="F4" t="s">
        <v>1</v>
      </c>
      <c r="G4">
        <v>8.9</v>
      </c>
      <c r="H4">
        <v>9.1999999999999993</v>
      </c>
      <c r="I4" t="e">
        <v>#N/A</v>
      </c>
      <c r="J4" s="1">
        <v>5.91</v>
      </c>
      <c r="K4" s="1" t="e">
        <v>#N/A</v>
      </c>
      <c r="L4" t="s">
        <v>724</v>
      </c>
      <c r="M4" t="e">
        <v>#N/A</v>
      </c>
      <c r="N4">
        <f>2000+RIGHT(Table1[[#This Row],[Release Date]],2)</f>
        <v>2002</v>
      </c>
      <c r="O4">
        <f>_xlfn.MAXIFS(Table1[[#This Row],[Total Shipped]]:Table1[[#This Row],[Total Sales]],Table1[[#This Row],[Total Shipped]]:Table1[[#This Row],[Total Sales]],"&lt;&gt;#N/A")</f>
        <v>5.91</v>
      </c>
      <c r="P4">
        <f>_xlfn.MAXIFS(Table1[[#This Row],[VGChartz Score]:[User Score]],Table1[[#This Row],[VGChartz Score]:[User Score]],"&lt;&gt;#N/A")</f>
        <v>9.1999999999999993</v>
      </c>
    </row>
    <row r="5" spans="1:16" hidden="1" x14ac:dyDescent="0.2">
      <c r="A5">
        <f t="shared" si="0"/>
        <v>4</v>
      </c>
      <c r="B5">
        <v>4</v>
      </c>
      <c r="C5" t="s">
        <v>138</v>
      </c>
      <c r="D5" t="s">
        <v>725</v>
      </c>
      <c r="E5" t="s">
        <v>719</v>
      </c>
      <c r="F5" t="s">
        <v>1</v>
      </c>
      <c r="G5" t="e">
        <v>#N/A</v>
      </c>
      <c r="H5">
        <v>9.6</v>
      </c>
      <c r="I5" t="e">
        <v>#N/A</v>
      </c>
      <c r="J5" s="2">
        <v>4.43</v>
      </c>
      <c r="K5" s="2" t="e">
        <v>#N/A</v>
      </c>
      <c r="L5" t="s">
        <v>726</v>
      </c>
      <c r="M5" t="e">
        <v>#N/A</v>
      </c>
      <c r="N5">
        <f>2000+RIGHT(Table1[[#This Row],[Release Date]],2)</f>
        <v>2003</v>
      </c>
      <c r="O5">
        <f>_xlfn.MAXIFS(Table1[[#This Row],[Total Shipped]]:Table1[[#This Row],[Total Sales]],Table1[[#This Row],[Total Shipped]]:Table1[[#This Row],[Total Sales]],"&lt;&gt;#N/A")</f>
        <v>4.43</v>
      </c>
      <c r="P5">
        <f>_xlfn.MAXIFS(Table1[[#This Row],[VGChartz Score]:[User Score]],Table1[[#This Row],[VGChartz Score]:[User Score]],"&lt;&gt;#N/A")</f>
        <v>9.6</v>
      </c>
    </row>
    <row r="6" spans="1:16" hidden="1" x14ac:dyDescent="0.2">
      <c r="A6">
        <f t="shared" si="0"/>
        <v>5</v>
      </c>
      <c r="B6">
        <v>5</v>
      </c>
      <c r="C6" t="s">
        <v>138</v>
      </c>
      <c r="D6" t="s">
        <v>727</v>
      </c>
      <c r="E6" t="s">
        <v>719</v>
      </c>
      <c r="F6" t="s">
        <v>1</v>
      </c>
      <c r="G6" t="e">
        <v>#N/A</v>
      </c>
      <c r="H6">
        <v>7.9</v>
      </c>
      <c r="I6" t="e">
        <v>#N/A</v>
      </c>
      <c r="J6" s="1">
        <v>3.33</v>
      </c>
      <c r="K6" s="1" t="e">
        <v>#N/A</v>
      </c>
      <c r="L6" t="s">
        <v>728</v>
      </c>
      <c r="M6" t="e">
        <v>#N/A</v>
      </c>
      <c r="N6">
        <f>2000+RIGHT(Table1[[#This Row],[Release Date]],2)</f>
        <v>2001</v>
      </c>
      <c r="O6">
        <f>_xlfn.MAXIFS(Table1[[#This Row],[Total Shipped]]:Table1[[#This Row],[Total Sales]],Table1[[#This Row],[Total Shipped]]:Table1[[#This Row],[Total Sales]],"&lt;&gt;#N/A")</f>
        <v>3.33</v>
      </c>
      <c r="P6">
        <f>_xlfn.MAXIFS(Table1[[#This Row],[VGChartz Score]:[User Score]],Table1[[#This Row],[VGChartz Score]:[User Score]],"&lt;&gt;#N/A")</f>
        <v>7.9</v>
      </c>
    </row>
    <row r="7" spans="1:16" hidden="1" x14ac:dyDescent="0.2">
      <c r="A7">
        <f t="shared" si="0"/>
        <v>6</v>
      </c>
      <c r="B7">
        <v>6</v>
      </c>
      <c r="C7" t="s">
        <v>138</v>
      </c>
      <c r="D7" t="s">
        <v>729</v>
      </c>
      <c r="E7" t="s">
        <v>719</v>
      </c>
      <c r="F7" t="s">
        <v>1</v>
      </c>
      <c r="G7">
        <v>9.3000000000000007</v>
      </c>
      <c r="H7">
        <v>9.6</v>
      </c>
      <c r="I7">
        <v>9.5</v>
      </c>
      <c r="J7" s="2">
        <v>2.84</v>
      </c>
      <c r="K7" s="2" t="e">
        <v>#N/A</v>
      </c>
      <c r="L7" t="s">
        <v>730</v>
      </c>
      <c r="M7" t="e">
        <v>#N/A</v>
      </c>
      <c r="N7">
        <f>2000+RIGHT(Table1[[#This Row],[Release Date]],2)</f>
        <v>2002</v>
      </c>
      <c r="O7">
        <f>_xlfn.MAXIFS(Table1[[#This Row],[Total Shipped]]:Table1[[#This Row],[Total Sales]],Table1[[#This Row],[Total Shipped]]:Table1[[#This Row],[Total Sales]],"&lt;&gt;#N/A")</f>
        <v>2.84</v>
      </c>
      <c r="P7">
        <f>_xlfn.MAXIFS(Table1[[#This Row],[VGChartz Score]:[User Score]],Table1[[#This Row],[VGChartz Score]:[User Score]],"&lt;&gt;#N/A")</f>
        <v>9.6</v>
      </c>
    </row>
    <row r="8" spans="1:16" hidden="1" x14ac:dyDescent="0.2">
      <c r="A8">
        <f t="shared" si="0"/>
        <v>7</v>
      </c>
      <c r="B8">
        <v>7</v>
      </c>
      <c r="C8" t="s">
        <v>138</v>
      </c>
      <c r="D8" t="s">
        <v>731</v>
      </c>
      <c r="E8" t="s">
        <v>719</v>
      </c>
      <c r="F8" t="s">
        <v>1</v>
      </c>
      <c r="G8" t="e">
        <v>#N/A</v>
      </c>
      <c r="H8">
        <v>7</v>
      </c>
      <c r="I8" t="e">
        <v>#N/A</v>
      </c>
      <c r="J8" s="1">
        <v>2.46</v>
      </c>
      <c r="K8" s="1" t="e">
        <v>#N/A</v>
      </c>
      <c r="L8" t="s">
        <v>732</v>
      </c>
      <c r="M8" t="e">
        <v>#N/A</v>
      </c>
      <c r="N8">
        <f>2000+RIGHT(Table1[[#This Row],[Release Date]],2)</f>
        <v>2002</v>
      </c>
      <c r="O8">
        <f>_xlfn.MAXIFS(Table1[[#This Row],[Total Shipped]]:Table1[[#This Row],[Total Sales]],Table1[[#This Row],[Total Shipped]]:Table1[[#This Row],[Total Sales]],"&lt;&gt;#N/A")</f>
        <v>2.46</v>
      </c>
      <c r="P8">
        <f>_xlfn.MAXIFS(Table1[[#This Row],[VGChartz Score]:[User Score]],Table1[[#This Row],[VGChartz Score]:[User Score]],"&lt;&gt;#N/A")</f>
        <v>7</v>
      </c>
    </row>
    <row r="9" spans="1:16" hidden="1" x14ac:dyDescent="0.2">
      <c r="A9">
        <f t="shared" si="0"/>
        <v>8</v>
      </c>
      <c r="B9">
        <v>8</v>
      </c>
      <c r="C9" t="s">
        <v>138</v>
      </c>
      <c r="D9" t="s">
        <v>733</v>
      </c>
      <c r="E9" t="s">
        <v>719</v>
      </c>
      <c r="F9" t="s">
        <v>1</v>
      </c>
      <c r="G9" t="e">
        <v>#N/A</v>
      </c>
      <c r="H9">
        <v>7</v>
      </c>
      <c r="I9" t="e">
        <v>#N/A</v>
      </c>
      <c r="J9" s="2">
        <v>2.41</v>
      </c>
      <c r="K9" s="2" t="e">
        <v>#N/A</v>
      </c>
      <c r="L9" t="s">
        <v>734</v>
      </c>
      <c r="M9" t="e">
        <v>#N/A</v>
      </c>
      <c r="N9">
        <f>2000+RIGHT(Table1[[#This Row],[Release Date]],2)</f>
        <v>2004</v>
      </c>
      <c r="O9">
        <f>_xlfn.MAXIFS(Table1[[#This Row],[Total Shipped]]:Table1[[#This Row],[Total Sales]],Table1[[#This Row],[Total Shipped]]:Table1[[#This Row],[Total Sales]],"&lt;&gt;#N/A")</f>
        <v>2.41</v>
      </c>
      <c r="P9">
        <f>_xlfn.MAXIFS(Table1[[#This Row],[VGChartz Score]:[User Score]],Table1[[#This Row],[VGChartz Score]:[User Score]],"&lt;&gt;#N/A")</f>
        <v>7</v>
      </c>
    </row>
    <row r="10" spans="1:16" hidden="1" x14ac:dyDescent="0.2">
      <c r="A10">
        <f t="shared" si="0"/>
        <v>9</v>
      </c>
      <c r="B10">
        <v>9</v>
      </c>
      <c r="C10" t="s">
        <v>138</v>
      </c>
      <c r="D10" t="s">
        <v>735</v>
      </c>
      <c r="E10" t="s">
        <v>719</v>
      </c>
      <c r="F10" t="s">
        <v>1</v>
      </c>
      <c r="G10" t="e">
        <v>#N/A</v>
      </c>
      <c r="H10">
        <v>8.3000000000000007</v>
      </c>
      <c r="I10" t="e">
        <v>#N/A</v>
      </c>
      <c r="J10" s="1">
        <v>2.27</v>
      </c>
      <c r="K10" s="1" t="e">
        <v>#N/A</v>
      </c>
      <c r="L10" t="s">
        <v>736</v>
      </c>
      <c r="M10" t="e">
        <v>#N/A</v>
      </c>
      <c r="N10">
        <f>2000+RIGHT(Table1[[#This Row],[Release Date]],2)</f>
        <v>2002</v>
      </c>
      <c r="O10">
        <f>_xlfn.MAXIFS(Table1[[#This Row],[Total Shipped]]:Table1[[#This Row],[Total Sales]],Table1[[#This Row],[Total Shipped]]:Table1[[#This Row],[Total Sales]],"&lt;&gt;#N/A")</f>
        <v>2.27</v>
      </c>
      <c r="P10">
        <f>_xlfn.MAXIFS(Table1[[#This Row],[VGChartz Score]:[User Score]],Table1[[#This Row],[VGChartz Score]:[User Score]],"&lt;&gt;#N/A")</f>
        <v>8.3000000000000007</v>
      </c>
    </row>
    <row r="11" spans="1:16" hidden="1" x14ac:dyDescent="0.2">
      <c r="A11">
        <f t="shared" si="0"/>
        <v>10</v>
      </c>
      <c r="B11">
        <v>10</v>
      </c>
      <c r="C11" t="s">
        <v>138</v>
      </c>
      <c r="D11" t="s">
        <v>737</v>
      </c>
      <c r="E11" t="s">
        <v>719</v>
      </c>
      <c r="F11" t="s">
        <v>1</v>
      </c>
      <c r="G11" t="e">
        <v>#N/A</v>
      </c>
      <c r="H11">
        <v>5.9</v>
      </c>
      <c r="I11" t="e">
        <v>#N/A</v>
      </c>
      <c r="J11" s="2">
        <v>2.17</v>
      </c>
      <c r="K11" s="2" t="e">
        <v>#N/A</v>
      </c>
      <c r="L11" t="s">
        <v>738</v>
      </c>
      <c r="M11" t="e">
        <v>#N/A</v>
      </c>
      <c r="N11">
        <f>2000+RIGHT(Table1[[#This Row],[Release Date]],2)</f>
        <v>2003</v>
      </c>
      <c r="O11">
        <f>_xlfn.MAXIFS(Table1[[#This Row],[Total Shipped]]:Table1[[#This Row],[Total Sales]],Table1[[#This Row],[Total Shipped]]:Table1[[#This Row],[Total Sales]],"&lt;&gt;#N/A")</f>
        <v>2.17</v>
      </c>
      <c r="P11">
        <f>_xlfn.MAXIFS(Table1[[#This Row],[VGChartz Score]:[User Score]],Table1[[#This Row],[VGChartz Score]:[User Score]],"&lt;&gt;#N/A")</f>
        <v>5.9</v>
      </c>
    </row>
    <row r="12" spans="1:16" hidden="1" x14ac:dyDescent="0.2">
      <c r="A12">
        <f t="shared" si="0"/>
        <v>11</v>
      </c>
      <c r="B12">
        <v>11</v>
      </c>
      <c r="C12" t="s">
        <v>138</v>
      </c>
      <c r="D12" t="s">
        <v>739</v>
      </c>
      <c r="E12" t="s">
        <v>719</v>
      </c>
      <c r="F12" t="s">
        <v>1</v>
      </c>
      <c r="G12" t="e">
        <v>#N/A</v>
      </c>
      <c r="H12">
        <v>6</v>
      </c>
      <c r="I12" t="e">
        <v>#N/A</v>
      </c>
      <c r="J12" s="1">
        <v>2.08</v>
      </c>
      <c r="K12" s="1" t="e">
        <v>#N/A</v>
      </c>
      <c r="L12" t="s">
        <v>740</v>
      </c>
      <c r="M12" t="e">
        <v>#N/A</v>
      </c>
      <c r="N12">
        <f>2000+RIGHT(Table1[[#This Row],[Release Date]],2)</f>
        <v>2005</v>
      </c>
      <c r="O12">
        <f>_xlfn.MAXIFS(Table1[[#This Row],[Total Shipped]]:Table1[[#This Row],[Total Sales]],Table1[[#This Row],[Total Shipped]]:Table1[[#This Row],[Total Sales]],"&lt;&gt;#N/A")</f>
        <v>2.08</v>
      </c>
      <c r="P12">
        <f>_xlfn.MAXIFS(Table1[[#This Row],[VGChartz Score]:[User Score]],Table1[[#This Row],[VGChartz Score]:[User Score]],"&lt;&gt;#N/A")</f>
        <v>6</v>
      </c>
    </row>
    <row r="13" spans="1:16" hidden="1" x14ac:dyDescent="0.2">
      <c r="A13">
        <f t="shared" si="0"/>
        <v>12</v>
      </c>
      <c r="B13">
        <v>12</v>
      </c>
      <c r="C13" t="s">
        <v>138</v>
      </c>
      <c r="D13" t="s">
        <v>147</v>
      </c>
      <c r="E13" t="s">
        <v>719</v>
      </c>
      <c r="F13" t="s">
        <v>1</v>
      </c>
      <c r="G13" t="e">
        <v>#N/A</v>
      </c>
      <c r="H13">
        <v>9</v>
      </c>
      <c r="I13" t="e">
        <v>#N/A</v>
      </c>
      <c r="J13" s="2">
        <v>1.91</v>
      </c>
      <c r="K13" s="2" t="e">
        <v>#N/A</v>
      </c>
      <c r="L13" t="s">
        <v>741</v>
      </c>
      <c r="M13" t="e">
        <v>#N/A</v>
      </c>
      <c r="N13">
        <f>2000+RIGHT(Table1[[#This Row],[Release Date]],2)</f>
        <v>2004</v>
      </c>
      <c r="O13">
        <f>_xlfn.MAXIFS(Table1[[#This Row],[Total Shipped]]:Table1[[#This Row],[Total Sales]],Table1[[#This Row],[Total Shipped]]:Table1[[#This Row],[Total Sales]],"&lt;&gt;#N/A")</f>
        <v>1.91</v>
      </c>
      <c r="P13">
        <f>_xlfn.MAXIFS(Table1[[#This Row],[VGChartz Score]:[User Score]],Table1[[#This Row],[VGChartz Score]:[User Score]],"&lt;&gt;#N/A")</f>
        <v>9</v>
      </c>
    </row>
    <row r="14" spans="1:16" hidden="1" x14ac:dyDescent="0.2">
      <c r="A14">
        <f t="shared" si="0"/>
        <v>13</v>
      </c>
      <c r="B14">
        <v>13</v>
      </c>
      <c r="C14" t="s">
        <v>138</v>
      </c>
      <c r="D14" t="s">
        <v>742</v>
      </c>
      <c r="E14" t="s">
        <v>719</v>
      </c>
      <c r="F14" t="s">
        <v>675</v>
      </c>
      <c r="G14" t="e">
        <v>#N/A</v>
      </c>
      <c r="H14">
        <v>9.1999999999999993</v>
      </c>
      <c r="I14" t="e">
        <v>#N/A</v>
      </c>
      <c r="J14" s="1" t="e">
        <v>#N/A</v>
      </c>
      <c r="K14" s="1">
        <v>1.9</v>
      </c>
      <c r="L14" t="s">
        <v>743</v>
      </c>
      <c r="M14" t="e">
        <v>#N/A</v>
      </c>
      <c r="N14">
        <f>2000+RIGHT(Table1[[#This Row],[Release Date]],2)</f>
        <v>2001</v>
      </c>
      <c r="O14">
        <f>_xlfn.MAXIFS(Table1[[#This Row],[Total Shipped]]:Table1[[#This Row],[Total Sales]],Table1[[#This Row],[Total Shipped]]:Table1[[#This Row],[Total Sales]],"&lt;&gt;#N/A")</f>
        <v>1.9</v>
      </c>
      <c r="P14">
        <f>_xlfn.MAXIFS(Table1[[#This Row],[VGChartz Score]:[User Score]],Table1[[#This Row],[VGChartz Score]:[User Score]],"&lt;&gt;#N/A")</f>
        <v>9.1999999999999993</v>
      </c>
    </row>
    <row r="15" spans="1:16" hidden="1" x14ac:dyDescent="0.2">
      <c r="A15">
        <f t="shared" si="0"/>
        <v>14</v>
      </c>
      <c r="B15">
        <v>14</v>
      </c>
      <c r="C15" t="s">
        <v>138</v>
      </c>
      <c r="D15" t="s">
        <v>744</v>
      </c>
      <c r="E15" t="s">
        <v>719</v>
      </c>
      <c r="F15" t="s">
        <v>1</v>
      </c>
      <c r="G15" t="e">
        <v>#N/A</v>
      </c>
      <c r="H15">
        <v>8.1</v>
      </c>
      <c r="I15" t="e">
        <v>#N/A</v>
      </c>
      <c r="J15" s="2">
        <v>1.82</v>
      </c>
      <c r="K15" s="2" t="e">
        <v>#N/A</v>
      </c>
      <c r="L15" t="s">
        <v>745</v>
      </c>
      <c r="M15" t="e">
        <v>#N/A</v>
      </c>
      <c r="N15">
        <f>2000+RIGHT(Table1[[#This Row],[Release Date]],2)</f>
        <v>2002</v>
      </c>
      <c r="O15">
        <f>_xlfn.MAXIFS(Table1[[#This Row],[Total Shipped]]:Table1[[#This Row],[Total Sales]],Table1[[#This Row],[Total Shipped]]:Table1[[#This Row],[Total Sales]],"&lt;&gt;#N/A")</f>
        <v>1.82</v>
      </c>
      <c r="P15">
        <f>_xlfn.MAXIFS(Table1[[#This Row],[VGChartz Score]:[User Score]],Table1[[#This Row],[VGChartz Score]:[User Score]],"&lt;&gt;#N/A")</f>
        <v>8.1</v>
      </c>
    </row>
    <row r="16" spans="1:16" hidden="1" x14ac:dyDescent="0.2">
      <c r="A16">
        <f t="shared" si="0"/>
        <v>15</v>
      </c>
      <c r="B16">
        <v>15</v>
      </c>
      <c r="C16" t="s">
        <v>138</v>
      </c>
      <c r="D16" t="s">
        <v>746</v>
      </c>
      <c r="E16" t="s">
        <v>719</v>
      </c>
      <c r="F16" t="s">
        <v>240</v>
      </c>
      <c r="G16" t="e">
        <v>#N/A</v>
      </c>
      <c r="H16">
        <v>7.5</v>
      </c>
      <c r="I16" t="e">
        <v>#N/A</v>
      </c>
      <c r="J16" s="1">
        <v>1.64</v>
      </c>
      <c r="K16" s="1" t="e">
        <v>#N/A</v>
      </c>
      <c r="L16" t="s">
        <v>747</v>
      </c>
      <c r="M16" t="e">
        <v>#N/A</v>
      </c>
      <c r="N16">
        <f>2000+RIGHT(Table1[[#This Row],[Release Date]],2)</f>
        <v>2002</v>
      </c>
      <c r="O16">
        <f>_xlfn.MAXIFS(Table1[[#This Row],[Total Shipped]]:Table1[[#This Row],[Total Sales]],Table1[[#This Row],[Total Shipped]]:Table1[[#This Row],[Total Sales]],"&lt;&gt;#N/A")</f>
        <v>1.64</v>
      </c>
      <c r="P16">
        <f>_xlfn.MAXIFS(Table1[[#This Row],[VGChartz Score]:[User Score]],Table1[[#This Row],[VGChartz Score]:[User Score]],"&lt;&gt;#N/A")</f>
        <v>7.5</v>
      </c>
    </row>
    <row r="17" spans="1:16" hidden="1" x14ac:dyDescent="0.2">
      <c r="A17">
        <f t="shared" si="0"/>
        <v>16</v>
      </c>
      <c r="B17">
        <v>16</v>
      </c>
      <c r="C17" t="s">
        <v>138</v>
      </c>
      <c r="D17" t="s">
        <v>748</v>
      </c>
      <c r="E17" t="s">
        <v>719</v>
      </c>
      <c r="F17" t="s">
        <v>1</v>
      </c>
      <c r="G17" t="e">
        <v>#N/A</v>
      </c>
      <c r="H17">
        <v>7.2</v>
      </c>
      <c r="I17" t="e">
        <v>#N/A</v>
      </c>
      <c r="J17" s="2">
        <v>1.63</v>
      </c>
      <c r="K17" s="2" t="e">
        <v>#N/A</v>
      </c>
      <c r="L17" t="s">
        <v>749</v>
      </c>
      <c r="M17" t="e">
        <v>#N/A</v>
      </c>
      <c r="N17">
        <f>2000+RIGHT(Table1[[#This Row],[Release Date]],2)</f>
        <v>2004</v>
      </c>
      <c r="O17">
        <f>_xlfn.MAXIFS(Table1[[#This Row],[Total Shipped]]:Table1[[#This Row],[Total Sales]],Table1[[#This Row],[Total Shipped]]:Table1[[#This Row],[Total Sales]],"&lt;&gt;#N/A")</f>
        <v>1.63</v>
      </c>
      <c r="P17">
        <f>_xlfn.MAXIFS(Table1[[#This Row],[VGChartz Score]:[User Score]],Table1[[#This Row],[VGChartz Score]:[User Score]],"&lt;&gt;#N/A")</f>
        <v>7.2</v>
      </c>
    </row>
    <row r="18" spans="1:16" hidden="1" x14ac:dyDescent="0.2">
      <c r="A18">
        <f t="shared" si="0"/>
        <v>17</v>
      </c>
      <c r="B18">
        <v>17</v>
      </c>
      <c r="C18" t="s">
        <v>138</v>
      </c>
      <c r="D18" t="s">
        <v>750</v>
      </c>
      <c r="E18" t="s">
        <v>719</v>
      </c>
      <c r="F18" t="s">
        <v>1</v>
      </c>
      <c r="G18" t="e">
        <v>#N/A</v>
      </c>
      <c r="H18">
        <v>8.1</v>
      </c>
      <c r="I18" t="e">
        <v>#N/A</v>
      </c>
      <c r="J18" s="1">
        <v>1.6</v>
      </c>
      <c r="K18" s="1" t="e">
        <v>#N/A</v>
      </c>
      <c r="L18" t="s">
        <v>751</v>
      </c>
      <c r="M18" t="e">
        <v>#N/A</v>
      </c>
      <c r="N18">
        <f>2000+RIGHT(Table1[[#This Row],[Release Date]],2)</f>
        <v>2001</v>
      </c>
      <c r="O18">
        <f>_xlfn.MAXIFS(Table1[[#This Row],[Total Shipped]]:Table1[[#This Row],[Total Sales]],Table1[[#This Row],[Total Shipped]]:Table1[[#This Row],[Total Sales]],"&lt;&gt;#N/A")</f>
        <v>1.6</v>
      </c>
      <c r="P18">
        <f>_xlfn.MAXIFS(Table1[[#This Row],[VGChartz Score]:[User Score]],Table1[[#This Row],[VGChartz Score]:[User Score]],"&lt;&gt;#N/A")</f>
        <v>8.1</v>
      </c>
    </row>
    <row r="19" spans="1:16" hidden="1" x14ac:dyDescent="0.2">
      <c r="A19">
        <f t="shared" si="0"/>
        <v>18</v>
      </c>
      <c r="B19">
        <v>18</v>
      </c>
      <c r="C19" t="s">
        <v>138</v>
      </c>
      <c r="D19" t="s">
        <v>271</v>
      </c>
      <c r="E19" t="s">
        <v>719</v>
      </c>
      <c r="F19" t="s">
        <v>69</v>
      </c>
      <c r="G19" t="e">
        <v>#N/A</v>
      </c>
      <c r="H19">
        <v>9.6</v>
      </c>
      <c r="I19" t="e">
        <v>#N/A</v>
      </c>
      <c r="J19" s="2">
        <v>1.6</v>
      </c>
      <c r="K19" s="2" t="e">
        <v>#N/A</v>
      </c>
      <c r="L19" t="s">
        <v>752</v>
      </c>
      <c r="M19" t="e">
        <v>#N/A</v>
      </c>
      <c r="N19">
        <f>2000+RIGHT(Table1[[#This Row],[Release Date]],2)</f>
        <v>2005</v>
      </c>
      <c r="O19">
        <f>_xlfn.MAXIFS(Table1[[#This Row],[Total Shipped]]:Table1[[#This Row],[Total Sales]],Table1[[#This Row],[Total Shipped]]:Table1[[#This Row],[Total Sales]],"&lt;&gt;#N/A")</f>
        <v>1.6</v>
      </c>
      <c r="P19">
        <f>_xlfn.MAXIFS(Table1[[#This Row],[VGChartz Score]:[User Score]],Table1[[#This Row],[VGChartz Score]:[User Score]],"&lt;&gt;#N/A")</f>
        <v>9.6</v>
      </c>
    </row>
    <row r="20" spans="1:16" hidden="1" x14ac:dyDescent="0.2">
      <c r="A20">
        <f t="shared" si="0"/>
        <v>19</v>
      </c>
      <c r="B20">
        <v>19</v>
      </c>
      <c r="C20" t="s">
        <v>138</v>
      </c>
      <c r="D20" t="s">
        <v>753</v>
      </c>
      <c r="E20" t="s">
        <v>719</v>
      </c>
      <c r="F20" t="s">
        <v>240</v>
      </c>
      <c r="G20" t="e">
        <v>#N/A</v>
      </c>
      <c r="H20">
        <v>5.4</v>
      </c>
      <c r="I20" t="e">
        <v>#N/A</v>
      </c>
      <c r="J20" s="1">
        <v>1.6</v>
      </c>
      <c r="K20" s="1" t="e">
        <v>#N/A</v>
      </c>
      <c r="L20" t="s">
        <v>754</v>
      </c>
      <c r="M20" t="e">
        <v>#N/A</v>
      </c>
      <c r="N20">
        <f>2000+RIGHT(Table1[[#This Row],[Release Date]],2)</f>
        <v>2003</v>
      </c>
      <c r="O20">
        <f>_xlfn.MAXIFS(Table1[[#This Row],[Total Shipped]]:Table1[[#This Row],[Total Sales]],Table1[[#This Row],[Total Shipped]]:Table1[[#This Row],[Total Sales]],"&lt;&gt;#N/A")</f>
        <v>1.6</v>
      </c>
      <c r="P20">
        <f>_xlfn.MAXIFS(Table1[[#This Row],[VGChartz Score]:[User Score]],Table1[[#This Row],[VGChartz Score]:[User Score]],"&lt;&gt;#N/A")</f>
        <v>5.4</v>
      </c>
    </row>
    <row r="21" spans="1:16" hidden="1" x14ac:dyDescent="0.2">
      <c r="A21">
        <f t="shared" si="0"/>
        <v>20</v>
      </c>
      <c r="B21">
        <v>20</v>
      </c>
      <c r="C21" t="s">
        <v>138</v>
      </c>
      <c r="D21" t="s">
        <v>755</v>
      </c>
      <c r="E21" t="s">
        <v>719</v>
      </c>
      <c r="F21" t="s">
        <v>1</v>
      </c>
      <c r="G21" t="e">
        <v>#N/A</v>
      </c>
      <c r="H21">
        <v>8</v>
      </c>
      <c r="I21" t="e">
        <v>#N/A</v>
      </c>
      <c r="J21" s="2">
        <v>1.6</v>
      </c>
      <c r="K21" s="2" t="e">
        <v>#N/A</v>
      </c>
      <c r="L21" t="s">
        <v>756</v>
      </c>
      <c r="M21" t="e">
        <v>#N/A</v>
      </c>
      <c r="N21">
        <f>2000+RIGHT(Table1[[#This Row],[Release Date]],2)</f>
        <v>2005</v>
      </c>
      <c r="O21">
        <f>_xlfn.MAXIFS(Table1[[#This Row],[Total Shipped]]:Table1[[#This Row],[Total Sales]],Table1[[#This Row],[Total Shipped]]:Table1[[#This Row],[Total Sales]],"&lt;&gt;#N/A")</f>
        <v>1.6</v>
      </c>
      <c r="P21">
        <f>_xlfn.MAXIFS(Table1[[#This Row],[VGChartz Score]:[User Score]],Table1[[#This Row],[VGChartz Score]:[User Score]],"&lt;&gt;#N/A")</f>
        <v>8</v>
      </c>
    </row>
    <row r="22" spans="1:16" hidden="1" x14ac:dyDescent="0.2">
      <c r="A22">
        <f t="shared" ref="A22:A85" si="1">ROW()-1</f>
        <v>21</v>
      </c>
      <c r="B22">
        <v>21</v>
      </c>
      <c r="C22" t="s">
        <v>138</v>
      </c>
      <c r="D22" t="s">
        <v>757</v>
      </c>
      <c r="E22" t="s">
        <v>719</v>
      </c>
      <c r="F22" t="s">
        <v>240</v>
      </c>
      <c r="G22" t="e">
        <v>#N/A</v>
      </c>
      <c r="H22" t="e">
        <v>#N/A</v>
      </c>
      <c r="I22" t="e">
        <v>#N/A</v>
      </c>
      <c r="J22" s="1" t="e">
        <v>#N/A</v>
      </c>
      <c r="K22" s="1">
        <v>1.52</v>
      </c>
      <c r="L22" t="s">
        <v>724</v>
      </c>
      <c r="M22" t="e">
        <v>#N/A</v>
      </c>
      <c r="N22">
        <f>2000+RIGHT(Table1[[#This Row],[Release Date]],2)</f>
        <v>2002</v>
      </c>
      <c r="O22">
        <f>_xlfn.MAXIFS(Table1[[#This Row],[Total Shipped]]:Table1[[#This Row],[Total Sales]],Table1[[#This Row],[Total Shipped]]:Table1[[#This Row],[Total Sales]],"&lt;&gt;#N/A")</f>
        <v>1.52</v>
      </c>
      <c r="P22">
        <f>_xlfn.MAXIFS(Table1[[#This Row],[VGChartz Score]:[User Score]],Table1[[#This Row],[VGChartz Score]:[User Score]],"&lt;&gt;#N/A")</f>
        <v>0</v>
      </c>
    </row>
    <row r="23" spans="1:16" hidden="1" x14ac:dyDescent="0.2">
      <c r="A23">
        <f t="shared" si="1"/>
        <v>22</v>
      </c>
      <c r="B23">
        <v>22</v>
      </c>
      <c r="C23" t="s">
        <v>138</v>
      </c>
      <c r="D23" t="s">
        <v>758</v>
      </c>
      <c r="E23" t="s">
        <v>719</v>
      </c>
      <c r="F23" t="s">
        <v>759</v>
      </c>
      <c r="G23" t="e">
        <v>#N/A</v>
      </c>
      <c r="H23">
        <v>9.1999999999999993</v>
      </c>
      <c r="I23" t="e">
        <v>#N/A</v>
      </c>
      <c r="J23" s="2" t="e">
        <v>#N/A</v>
      </c>
      <c r="K23" s="2">
        <v>1.5</v>
      </c>
      <c r="L23" t="s">
        <v>760</v>
      </c>
      <c r="M23" t="e">
        <v>#N/A</v>
      </c>
      <c r="N23">
        <f>2000+RIGHT(Table1[[#This Row],[Release Date]],2)</f>
        <v>2003</v>
      </c>
      <c r="O23">
        <f>_xlfn.MAXIFS(Table1[[#This Row],[Total Shipped]]:Table1[[#This Row],[Total Sales]],Table1[[#This Row],[Total Shipped]]:Table1[[#This Row],[Total Sales]],"&lt;&gt;#N/A")</f>
        <v>1.5</v>
      </c>
      <c r="P23">
        <f>_xlfn.MAXIFS(Table1[[#This Row],[VGChartz Score]:[User Score]],Table1[[#This Row],[VGChartz Score]:[User Score]],"&lt;&gt;#N/A")</f>
        <v>9.1999999999999993</v>
      </c>
    </row>
    <row r="24" spans="1:16" hidden="1" x14ac:dyDescent="0.2">
      <c r="A24">
        <f t="shared" si="1"/>
        <v>23</v>
      </c>
      <c r="B24">
        <v>23</v>
      </c>
      <c r="C24" t="s">
        <v>138</v>
      </c>
      <c r="D24" t="s">
        <v>761</v>
      </c>
      <c r="E24" t="s">
        <v>719</v>
      </c>
      <c r="F24" t="s">
        <v>240</v>
      </c>
      <c r="G24" t="e">
        <v>#N/A</v>
      </c>
      <c r="H24">
        <v>9</v>
      </c>
      <c r="I24" t="e">
        <v>#N/A</v>
      </c>
      <c r="J24" s="1" t="e">
        <v>#N/A</v>
      </c>
      <c r="K24" s="1">
        <v>1.46</v>
      </c>
      <c r="L24" t="s">
        <v>728</v>
      </c>
      <c r="M24" t="e">
        <v>#N/A</v>
      </c>
      <c r="N24">
        <f>2000+RIGHT(Table1[[#This Row],[Release Date]],2)</f>
        <v>2001</v>
      </c>
      <c r="O24">
        <f>_xlfn.MAXIFS(Table1[[#This Row],[Total Shipped]]:Table1[[#This Row],[Total Sales]],Table1[[#This Row],[Total Shipped]]:Table1[[#This Row],[Total Sales]],"&lt;&gt;#N/A")</f>
        <v>1.46</v>
      </c>
      <c r="P24">
        <f>_xlfn.MAXIFS(Table1[[#This Row],[VGChartz Score]:[User Score]],Table1[[#This Row],[VGChartz Score]:[User Score]],"&lt;&gt;#N/A")</f>
        <v>9</v>
      </c>
    </row>
    <row r="25" spans="1:16" hidden="1" x14ac:dyDescent="0.2">
      <c r="A25">
        <f t="shared" si="1"/>
        <v>24</v>
      </c>
      <c r="B25">
        <v>24</v>
      </c>
      <c r="C25" t="s">
        <v>138</v>
      </c>
      <c r="D25" t="s">
        <v>762</v>
      </c>
      <c r="E25" t="s">
        <v>719</v>
      </c>
      <c r="F25" t="s">
        <v>1</v>
      </c>
      <c r="G25" t="e">
        <v>#N/A</v>
      </c>
      <c r="H25">
        <v>9.5</v>
      </c>
      <c r="I25" t="e">
        <v>#N/A</v>
      </c>
      <c r="J25" s="2">
        <v>1.43</v>
      </c>
      <c r="K25" s="2" t="e">
        <v>#N/A</v>
      </c>
      <c r="L25" t="s">
        <v>763</v>
      </c>
      <c r="M25" t="e">
        <v>#N/A</v>
      </c>
      <c r="N25">
        <f>2000+RIGHT(Table1[[#This Row],[Release Date]],2)</f>
        <v>2006</v>
      </c>
      <c r="O25">
        <f>_xlfn.MAXIFS(Table1[[#This Row],[Total Shipped]]:Table1[[#This Row],[Total Sales]],Table1[[#This Row],[Total Shipped]]:Table1[[#This Row],[Total Sales]],"&lt;&gt;#N/A")</f>
        <v>1.43</v>
      </c>
      <c r="P25">
        <f>_xlfn.MAXIFS(Table1[[#This Row],[VGChartz Score]:[User Score]],Table1[[#This Row],[VGChartz Score]:[User Score]],"&lt;&gt;#N/A")</f>
        <v>9.5</v>
      </c>
    </row>
    <row r="26" spans="1:16" hidden="1" x14ac:dyDescent="0.2">
      <c r="A26">
        <f t="shared" si="1"/>
        <v>25</v>
      </c>
      <c r="B26">
        <v>25</v>
      </c>
      <c r="C26" t="s">
        <v>138</v>
      </c>
      <c r="D26" t="s">
        <v>764</v>
      </c>
      <c r="E26" t="s">
        <v>719</v>
      </c>
      <c r="F26" t="s">
        <v>1</v>
      </c>
      <c r="G26" t="e">
        <v>#N/A</v>
      </c>
      <c r="H26">
        <v>6.9</v>
      </c>
      <c r="I26" t="e">
        <v>#N/A</v>
      </c>
      <c r="J26" s="1">
        <v>1.42</v>
      </c>
      <c r="K26" s="1" t="e">
        <v>#N/A</v>
      </c>
      <c r="L26" t="s">
        <v>765</v>
      </c>
      <c r="M26" t="e">
        <v>#N/A</v>
      </c>
      <c r="N26">
        <f>2000+RIGHT(Table1[[#This Row],[Release Date]],2)</f>
        <v>2005</v>
      </c>
      <c r="O26">
        <f>_xlfn.MAXIFS(Table1[[#This Row],[Total Shipped]]:Table1[[#This Row],[Total Sales]],Table1[[#This Row],[Total Shipped]]:Table1[[#This Row],[Total Sales]],"&lt;&gt;#N/A")</f>
        <v>1.42</v>
      </c>
      <c r="P26">
        <f>_xlfn.MAXIFS(Table1[[#This Row],[VGChartz Score]:[User Score]],Table1[[#This Row],[VGChartz Score]:[User Score]],"&lt;&gt;#N/A")</f>
        <v>6.9</v>
      </c>
    </row>
    <row r="27" spans="1:16" hidden="1" x14ac:dyDescent="0.2">
      <c r="A27">
        <f t="shared" si="1"/>
        <v>26</v>
      </c>
      <c r="B27">
        <v>26</v>
      </c>
      <c r="C27" t="s">
        <v>138</v>
      </c>
      <c r="D27" t="s">
        <v>766</v>
      </c>
      <c r="E27" t="s">
        <v>719</v>
      </c>
      <c r="F27" t="s">
        <v>240</v>
      </c>
      <c r="G27" t="e">
        <v>#N/A</v>
      </c>
      <c r="H27">
        <v>7.2</v>
      </c>
      <c r="I27" t="e">
        <v>#N/A</v>
      </c>
      <c r="J27" s="2">
        <v>1.42</v>
      </c>
      <c r="K27" s="2" t="e">
        <v>#N/A</v>
      </c>
      <c r="L27" t="s">
        <v>767</v>
      </c>
      <c r="M27" t="e">
        <v>#N/A</v>
      </c>
      <c r="N27">
        <f>2000+RIGHT(Table1[[#This Row],[Release Date]],2)</f>
        <v>2004</v>
      </c>
      <c r="O27">
        <f>_xlfn.MAXIFS(Table1[[#This Row],[Total Shipped]]:Table1[[#This Row],[Total Sales]],Table1[[#This Row],[Total Shipped]]:Table1[[#This Row],[Total Sales]],"&lt;&gt;#N/A")</f>
        <v>1.42</v>
      </c>
      <c r="P27">
        <f>_xlfn.MAXIFS(Table1[[#This Row],[VGChartz Score]:[User Score]],Table1[[#This Row],[VGChartz Score]:[User Score]],"&lt;&gt;#N/A")</f>
        <v>7.2</v>
      </c>
    </row>
    <row r="28" spans="1:16" hidden="1" x14ac:dyDescent="0.2">
      <c r="A28">
        <f t="shared" si="1"/>
        <v>27</v>
      </c>
      <c r="B28">
        <v>27</v>
      </c>
      <c r="C28" t="s">
        <v>138</v>
      </c>
      <c r="D28" t="s">
        <v>768</v>
      </c>
      <c r="E28" t="s">
        <v>719</v>
      </c>
      <c r="F28" t="s">
        <v>597</v>
      </c>
      <c r="G28" t="e">
        <v>#N/A</v>
      </c>
      <c r="H28">
        <v>7.9</v>
      </c>
      <c r="I28" t="e">
        <v>#N/A</v>
      </c>
      <c r="J28" s="1" t="e">
        <v>#N/A</v>
      </c>
      <c r="K28" s="1">
        <v>1.41</v>
      </c>
      <c r="L28" t="s">
        <v>769</v>
      </c>
      <c r="M28" t="e">
        <v>#N/A</v>
      </c>
      <c r="N28">
        <f>2000+RIGHT(Table1[[#This Row],[Release Date]],2)</f>
        <v>2005</v>
      </c>
      <c r="O28">
        <f>_xlfn.MAXIFS(Table1[[#This Row],[Total Shipped]]:Table1[[#This Row],[Total Sales]],Table1[[#This Row],[Total Shipped]]:Table1[[#This Row],[Total Sales]],"&lt;&gt;#N/A")</f>
        <v>1.41</v>
      </c>
      <c r="P28">
        <f>_xlfn.MAXIFS(Table1[[#This Row],[VGChartz Score]:[User Score]],Table1[[#This Row],[VGChartz Score]:[User Score]],"&lt;&gt;#N/A")</f>
        <v>7.9</v>
      </c>
    </row>
    <row r="29" spans="1:16" hidden="1" x14ac:dyDescent="0.2">
      <c r="A29">
        <f t="shared" si="1"/>
        <v>28</v>
      </c>
      <c r="B29">
        <v>28</v>
      </c>
      <c r="C29" t="s">
        <v>138</v>
      </c>
      <c r="D29" t="s">
        <v>770</v>
      </c>
      <c r="E29" t="s">
        <v>719</v>
      </c>
      <c r="F29" t="s">
        <v>1</v>
      </c>
      <c r="G29" t="e">
        <v>#N/A</v>
      </c>
      <c r="H29">
        <v>6.4</v>
      </c>
      <c r="I29" t="e">
        <v>#N/A</v>
      </c>
      <c r="J29" s="2">
        <v>1.35</v>
      </c>
      <c r="K29" s="2" t="e">
        <v>#N/A</v>
      </c>
      <c r="L29" t="s">
        <v>771</v>
      </c>
      <c r="M29" t="e">
        <v>#N/A</v>
      </c>
      <c r="N29">
        <f>2000+RIGHT(Table1[[#This Row],[Release Date]],2)</f>
        <v>2003</v>
      </c>
      <c r="O29">
        <f>_xlfn.MAXIFS(Table1[[#This Row],[Total Shipped]]:Table1[[#This Row],[Total Sales]],Table1[[#This Row],[Total Shipped]]:Table1[[#This Row],[Total Sales]],"&lt;&gt;#N/A")</f>
        <v>1.35</v>
      </c>
      <c r="P29">
        <f>_xlfn.MAXIFS(Table1[[#This Row],[VGChartz Score]:[User Score]],Table1[[#This Row],[VGChartz Score]:[User Score]],"&lt;&gt;#N/A")</f>
        <v>6.4</v>
      </c>
    </row>
    <row r="30" spans="1:16" hidden="1" x14ac:dyDescent="0.2">
      <c r="A30">
        <f t="shared" si="1"/>
        <v>29</v>
      </c>
      <c r="B30">
        <v>29</v>
      </c>
      <c r="C30" t="s">
        <v>138</v>
      </c>
      <c r="D30" t="s">
        <v>772</v>
      </c>
      <c r="E30" t="s">
        <v>719</v>
      </c>
      <c r="F30" t="s">
        <v>69</v>
      </c>
      <c r="G30" t="e">
        <v>#N/A</v>
      </c>
      <c r="H30">
        <v>8.9</v>
      </c>
      <c r="I30" t="e">
        <v>#N/A</v>
      </c>
      <c r="J30" s="1">
        <v>1.35</v>
      </c>
      <c r="K30" s="1" t="e">
        <v>#N/A</v>
      </c>
      <c r="L30" t="s">
        <v>773</v>
      </c>
      <c r="M30" t="e">
        <v>#N/A</v>
      </c>
      <c r="N30">
        <f>2000+RIGHT(Table1[[#This Row],[Release Date]],2)</f>
        <v>2002</v>
      </c>
      <c r="O30">
        <f>_xlfn.MAXIFS(Table1[[#This Row],[Total Shipped]]:Table1[[#This Row],[Total Sales]],Table1[[#This Row],[Total Shipped]]:Table1[[#This Row],[Total Sales]],"&lt;&gt;#N/A")</f>
        <v>1.35</v>
      </c>
      <c r="P30">
        <f>_xlfn.MAXIFS(Table1[[#This Row],[VGChartz Score]:[User Score]],Table1[[#This Row],[VGChartz Score]:[User Score]],"&lt;&gt;#N/A")</f>
        <v>8.9</v>
      </c>
    </row>
    <row r="31" spans="1:16" hidden="1" x14ac:dyDescent="0.2">
      <c r="A31">
        <f t="shared" si="1"/>
        <v>30</v>
      </c>
      <c r="B31">
        <v>30</v>
      </c>
      <c r="C31" t="s">
        <v>138</v>
      </c>
      <c r="D31" t="s">
        <v>774</v>
      </c>
      <c r="E31" t="s">
        <v>719</v>
      </c>
      <c r="F31" t="s">
        <v>1</v>
      </c>
      <c r="G31" t="e">
        <v>#N/A</v>
      </c>
      <c r="H31">
        <v>7.9</v>
      </c>
      <c r="I31" t="e">
        <v>#N/A</v>
      </c>
      <c r="J31" s="2" t="e">
        <v>#N/A</v>
      </c>
      <c r="K31" s="2">
        <v>1.34</v>
      </c>
      <c r="L31" t="s">
        <v>775</v>
      </c>
      <c r="M31" t="e">
        <v>#N/A</v>
      </c>
      <c r="N31">
        <f>2000+RIGHT(Table1[[#This Row],[Release Date]],2)</f>
        <v>2005</v>
      </c>
      <c r="O31">
        <f>_xlfn.MAXIFS(Table1[[#This Row],[Total Shipped]]:Table1[[#This Row],[Total Sales]],Table1[[#This Row],[Total Shipped]]:Table1[[#This Row],[Total Sales]],"&lt;&gt;#N/A")</f>
        <v>1.34</v>
      </c>
      <c r="P31">
        <f>_xlfn.MAXIFS(Table1[[#This Row],[VGChartz Score]:[User Score]],Table1[[#This Row],[VGChartz Score]:[User Score]],"&lt;&gt;#N/A")</f>
        <v>7.9</v>
      </c>
    </row>
    <row r="32" spans="1:16" hidden="1" x14ac:dyDescent="0.2">
      <c r="A32">
        <f t="shared" si="1"/>
        <v>31</v>
      </c>
      <c r="B32">
        <v>31</v>
      </c>
      <c r="C32" t="s">
        <v>138</v>
      </c>
      <c r="D32" t="s">
        <v>776</v>
      </c>
      <c r="E32" t="s">
        <v>719</v>
      </c>
      <c r="F32" t="s">
        <v>1</v>
      </c>
      <c r="G32" t="e">
        <v>#N/A</v>
      </c>
      <c r="H32">
        <v>7.7</v>
      </c>
      <c r="I32">
        <v>7.5</v>
      </c>
      <c r="J32" s="1">
        <v>1.3</v>
      </c>
      <c r="K32" s="1" t="e">
        <v>#N/A</v>
      </c>
      <c r="L32" t="s">
        <v>777</v>
      </c>
      <c r="M32" t="e">
        <v>#N/A</v>
      </c>
      <c r="N32">
        <f>2000+RIGHT(Table1[[#This Row],[Release Date]],2)</f>
        <v>2004</v>
      </c>
      <c r="O32">
        <f>_xlfn.MAXIFS(Table1[[#This Row],[Total Shipped]]:Table1[[#This Row],[Total Sales]],Table1[[#This Row],[Total Shipped]]:Table1[[#This Row],[Total Sales]],"&lt;&gt;#N/A")</f>
        <v>1.3</v>
      </c>
      <c r="P32">
        <f>_xlfn.MAXIFS(Table1[[#This Row],[VGChartz Score]:[User Score]],Table1[[#This Row],[VGChartz Score]:[User Score]],"&lt;&gt;#N/A")</f>
        <v>7.7</v>
      </c>
    </row>
    <row r="33" spans="1:16" hidden="1" x14ac:dyDescent="0.2">
      <c r="A33">
        <f t="shared" si="1"/>
        <v>32</v>
      </c>
      <c r="B33">
        <v>32</v>
      </c>
      <c r="C33" t="s">
        <v>138</v>
      </c>
      <c r="D33" t="s">
        <v>778</v>
      </c>
      <c r="E33" t="s">
        <v>719</v>
      </c>
      <c r="F33" t="s">
        <v>1</v>
      </c>
      <c r="G33" t="e">
        <v>#N/A</v>
      </c>
      <c r="H33">
        <v>8.1</v>
      </c>
      <c r="I33" t="e">
        <v>#N/A</v>
      </c>
      <c r="J33" s="2">
        <v>1.27</v>
      </c>
      <c r="K33" s="2" t="e">
        <v>#N/A</v>
      </c>
      <c r="L33" t="s">
        <v>779</v>
      </c>
      <c r="M33" t="e">
        <v>#N/A</v>
      </c>
      <c r="N33">
        <f>2000+RIGHT(Table1[[#This Row],[Release Date]],2)</f>
        <v>2003</v>
      </c>
      <c r="O33">
        <f>_xlfn.MAXIFS(Table1[[#This Row],[Total Shipped]]:Table1[[#This Row],[Total Sales]],Table1[[#This Row],[Total Shipped]]:Table1[[#This Row],[Total Sales]],"&lt;&gt;#N/A")</f>
        <v>1.27</v>
      </c>
      <c r="P33">
        <f>_xlfn.MAXIFS(Table1[[#This Row],[VGChartz Score]:[User Score]],Table1[[#This Row],[VGChartz Score]:[User Score]],"&lt;&gt;#N/A")</f>
        <v>8.1</v>
      </c>
    </row>
    <row r="34" spans="1:16" hidden="1" x14ac:dyDescent="0.2">
      <c r="A34">
        <f t="shared" si="1"/>
        <v>33</v>
      </c>
      <c r="B34">
        <v>33</v>
      </c>
      <c r="C34" t="s">
        <v>138</v>
      </c>
      <c r="D34" t="s">
        <v>780</v>
      </c>
      <c r="E34" t="s">
        <v>719</v>
      </c>
      <c r="F34" t="s">
        <v>69</v>
      </c>
      <c r="G34" t="e">
        <v>#N/A</v>
      </c>
      <c r="H34">
        <v>8.1999999999999993</v>
      </c>
      <c r="I34" t="e">
        <v>#N/A</v>
      </c>
      <c r="J34" s="1">
        <v>1.25</v>
      </c>
      <c r="K34" s="1" t="e">
        <v>#N/A</v>
      </c>
      <c r="L34" t="s">
        <v>781</v>
      </c>
      <c r="M34" t="e">
        <v>#N/A</v>
      </c>
      <c r="N34">
        <f>2000+RIGHT(Table1[[#This Row],[Release Date]],2)</f>
        <v>2002</v>
      </c>
      <c r="O34">
        <f>_xlfn.MAXIFS(Table1[[#This Row],[Total Shipped]]:Table1[[#This Row],[Total Sales]],Table1[[#This Row],[Total Shipped]]:Table1[[#This Row],[Total Sales]],"&lt;&gt;#N/A")</f>
        <v>1.25</v>
      </c>
      <c r="P34">
        <f>_xlfn.MAXIFS(Table1[[#This Row],[VGChartz Score]:[User Score]],Table1[[#This Row],[VGChartz Score]:[User Score]],"&lt;&gt;#N/A")</f>
        <v>8.1999999999999993</v>
      </c>
    </row>
    <row r="35" spans="1:16" hidden="1" x14ac:dyDescent="0.2">
      <c r="A35">
        <f t="shared" si="1"/>
        <v>34</v>
      </c>
      <c r="B35">
        <v>34</v>
      </c>
      <c r="C35" t="s">
        <v>138</v>
      </c>
      <c r="D35" t="s">
        <v>782</v>
      </c>
      <c r="E35" t="s">
        <v>719</v>
      </c>
      <c r="F35" t="s">
        <v>324</v>
      </c>
      <c r="G35" t="e">
        <v>#N/A</v>
      </c>
      <c r="H35" t="e">
        <v>#N/A</v>
      </c>
      <c r="I35" t="e">
        <v>#N/A</v>
      </c>
      <c r="J35" s="2" t="e">
        <v>#N/A</v>
      </c>
      <c r="K35" s="2">
        <v>1.21</v>
      </c>
      <c r="L35" t="s">
        <v>722</v>
      </c>
      <c r="M35" t="e">
        <v>#N/A</v>
      </c>
      <c r="N35">
        <f>2000+RIGHT(Table1[[#This Row],[Release Date]],2)</f>
        <v>2003</v>
      </c>
      <c r="O35">
        <f>_xlfn.MAXIFS(Table1[[#This Row],[Total Shipped]]:Table1[[#This Row],[Total Sales]],Table1[[#This Row],[Total Shipped]]:Table1[[#This Row],[Total Sales]],"&lt;&gt;#N/A")</f>
        <v>1.21</v>
      </c>
      <c r="P35">
        <f>_xlfn.MAXIFS(Table1[[#This Row],[VGChartz Score]:[User Score]],Table1[[#This Row],[VGChartz Score]:[User Score]],"&lt;&gt;#N/A")</f>
        <v>0</v>
      </c>
    </row>
    <row r="36" spans="1:16" hidden="1" x14ac:dyDescent="0.2">
      <c r="A36">
        <f t="shared" si="1"/>
        <v>35</v>
      </c>
      <c r="B36">
        <v>35</v>
      </c>
      <c r="C36" t="s">
        <v>138</v>
      </c>
      <c r="D36" t="s">
        <v>783</v>
      </c>
      <c r="E36" t="s">
        <v>719</v>
      </c>
      <c r="F36" t="s">
        <v>233</v>
      </c>
      <c r="G36" t="e">
        <v>#N/A</v>
      </c>
      <c r="H36">
        <v>7.6</v>
      </c>
      <c r="I36" t="e">
        <v>#N/A</v>
      </c>
      <c r="J36" s="1" t="e">
        <v>#N/A</v>
      </c>
      <c r="K36" s="1">
        <v>1.19</v>
      </c>
      <c r="L36" t="s">
        <v>784</v>
      </c>
      <c r="M36" t="e">
        <v>#N/A</v>
      </c>
      <c r="N36">
        <f>2000+RIGHT(Table1[[#This Row],[Release Date]],2)</f>
        <v>2002</v>
      </c>
      <c r="O36">
        <f>_xlfn.MAXIFS(Table1[[#This Row],[Total Shipped]]:Table1[[#This Row],[Total Sales]],Table1[[#This Row],[Total Shipped]]:Table1[[#This Row],[Total Sales]],"&lt;&gt;#N/A")</f>
        <v>1.19</v>
      </c>
      <c r="P36">
        <f>_xlfn.MAXIFS(Table1[[#This Row],[VGChartz Score]:[User Score]],Table1[[#This Row],[VGChartz Score]:[User Score]],"&lt;&gt;#N/A")</f>
        <v>7.6</v>
      </c>
    </row>
    <row r="37" spans="1:16" hidden="1" x14ac:dyDescent="0.2">
      <c r="A37">
        <f t="shared" si="1"/>
        <v>36</v>
      </c>
      <c r="B37">
        <v>36</v>
      </c>
      <c r="C37" t="s">
        <v>138</v>
      </c>
      <c r="D37" t="s">
        <v>785</v>
      </c>
      <c r="E37" t="s">
        <v>719</v>
      </c>
      <c r="F37" t="s">
        <v>1</v>
      </c>
      <c r="G37" t="e">
        <v>#N/A</v>
      </c>
      <c r="H37">
        <v>7.3</v>
      </c>
      <c r="I37" t="e">
        <v>#N/A</v>
      </c>
      <c r="J37" s="2">
        <v>1.18</v>
      </c>
      <c r="K37" s="2" t="e">
        <v>#N/A</v>
      </c>
      <c r="L37" t="s">
        <v>786</v>
      </c>
      <c r="M37" t="e">
        <v>#N/A</v>
      </c>
      <c r="N37">
        <f>2000+RIGHT(Table1[[#This Row],[Release Date]],2)</f>
        <v>2004</v>
      </c>
      <c r="O37">
        <f>_xlfn.MAXIFS(Table1[[#This Row],[Total Shipped]]:Table1[[#This Row],[Total Sales]],Table1[[#This Row],[Total Shipped]]:Table1[[#This Row],[Total Sales]],"&lt;&gt;#N/A")</f>
        <v>1.18</v>
      </c>
      <c r="P37">
        <f>_xlfn.MAXIFS(Table1[[#This Row],[VGChartz Score]:[User Score]],Table1[[#This Row],[VGChartz Score]:[User Score]],"&lt;&gt;#N/A")</f>
        <v>7.3</v>
      </c>
    </row>
    <row r="38" spans="1:16" hidden="1" x14ac:dyDescent="0.2">
      <c r="A38">
        <f t="shared" si="1"/>
        <v>37</v>
      </c>
      <c r="B38">
        <v>37</v>
      </c>
      <c r="C38" t="s">
        <v>138</v>
      </c>
      <c r="D38" t="s">
        <v>787</v>
      </c>
      <c r="E38" t="s">
        <v>719</v>
      </c>
      <c r="F38" t="s">
        <v>1</v>
      </c>
      <c r="G38" t="e">
        <v>#N/A</v>
      </c>
      <c r="H38">
        <v>8.1</v>
      </c>
      <c r="I38" t="e">
        <v>#N/A</v>
      </c>
      <c r="J38" s="1">
        <v>1.1599999999999999</v>
      </c>
      <c r="K38" s="1" t="e">
        <v>#N/A</v>
      </c>
      <c r="L38" t="s">
        <v>788</v>
      </c>
      <c r="M38" t="e">
        <v>#N/A</v>
      </c>
      <c r="N38">
        <f>2000+RIGHT(Table1[[#This Row],[Release Date]],2)</f>
        <v>2004</v>
      </c>
      <c r="O38">
        <f>_xlfn.MAXIFS(Table1[[#This Row],[Total Shipped]]:Table1[[#This Row],[Total Sales]],Table1[[#This Row],[Total Shipped]]:Table1[[#This Row],[Total Sales]],"&lt;&gt;#N/A")</f>
        <v>1.1599999999999999</v>
      </c>
      <c r="P38">
        <f>_xlfn.MAXIFS(Table1[[#This Row],[VGChartz Score]:[User Score]],Table1[[#This Row],[VGChartz Score]:[User Score]],"&lt;&gt;#N/A")</f>
        <v>8.1</v>
      </c>
    </row>
    <row r="39" spans="1:16" hidden="1" x14ac:dyDescent="0.2">
      <c r="A39">
        <f t="shared" si="1"/>
        <v>38</v>
      </c>
      <c r="B39">
        <v>38</v>
      </c>
      <c r="C39" t="s">
        <v>138</v>
      </c>
      <c r="D39" t="s">
        <v>789</v>
      </c>
      <c r="E39" t="s">
        <v>719</v>
      </c>
      <c r="F39" t="s">
        <v>324</v>
      </c>
      <c r="G39" t="e">
        <v>#N/A</v>
      </c>
      <c r="H39" t="e">
        <v>#N/A</v>
      </c>
      <c r="I39" t="e">
        <v>#N/A</v>
      </c>
      <c r="J39" s="2" t="e">
        <v>#N/A</v>
      </c>
      <c r="K39" s="2">
        <v>1.1399999999999999</v>
      </c>
      <c r="L39" t="s">
        <v>790</v>
      </c>
      <c r="M39" t="e">
        <v>#N/A</v>
      </c>
      <c r="N39">
        <f>2000+RIGHT(Table1[[#This Row],[Release Date]],2)</f>
        <v>2004</v>
      </c>
      <c r="O39">
        <f>_xlfn.MAXIFS(Table1[[#This Row],[Total Shipped]]:Table1[[#This Row],[Total Sales]],Table1[[#This Row],[Total Shipped]]:Table1[[#This Row],[Total Sales]],"&lt;&gt;#N/A")</f>
        <v>1.1399999999999999</v>
      </c>
      <c r="P39">
        <f>_xlfn.MAXIFS(Table1[[#This Row],[VGChartz Score]:[User Score]],Table1[[#This Row],[VGChartz Score]:[User Score]],"&lt;&gt;#N/A")</f>
        <v>0</v>
      </c>
    </row>
    <row r="40" spans="1:16" hidden="1" x14ac:dyDescent="0.2">
      <c r="A40">
        <f t="shared" si="1"/>
        <v>39</v>
      </c>
      <c r="B40">
        <v>39</v>
      </c>
      <c r="C40" t="s">
        <v>138</v>
      </c>
      <c r="D40" t="s">
        <v>791</v>
      </c>
      <c r="E40" t="s">
        <v>719</v>
      </c>
      <c r="F40" t="s">
        <v>1</v>
      </c>
      <c r="G40" t="e">
        <v>#N/A</v>
      </c>
      <c r="H40">
        <v>9.1</v>
      </c>
      <c r="I40" t="e">
        <v>#N/A</v>
      </c>
      <c r="J40" s="1">
        <v>1.1200000000000001</v>
      </c>
      <c r="K40" s="1" t="e">
        <v>#N/A</v>
      </c>
      <c r="L40" t="s">
        <v>792</v>
      </c>
      <c r="M40" t="e">
        <v>#N/A</v>
      </c>
      <c r="N40">
        <f>2000+RIGHT(Table1[[#This Row],[Release Date]],2)</f>
        <v>2004</v>
      </c>
      <c r="O40">
        <f>_xlfn.MAXIFS(Table1[[#This Row],[Total Shipped]]:Table1[[#This Row],[Total Sales]],Table1[[#This Row],[Total Shipped]]:Table1[[#This Row],[Total Sales]],"&lt;&gt;#N/A")</f>
        <v>1.1200000000000001</v>
      </c>
      <c r="P40">
        <f>_xlfn.MAXIFS(Table1[[#This Row],[VGChartz Score]:[User Score]],Table1[[#This Row],[VGChartz Score]:[User Score]],"&lt;&gt;#N/A")</f>
        <v>9.1</v>
      </c>
    </row>
    <row r="41" spans="1:16" hidden="1" x14ac:dyDescent="0.2">
      <c r="A41">
        <f t="shared" si="1"/>
        <v>40</v>
      </c>
      <c r="B41">
        <v>40</v>
      </c>
      <c r="C41" t="s">
        <v>138</v>
      </c>
      <c r="D41" t="s">
        <v>793</v>
      </c>
      <c r="E41" t="s">
        <v>719</v>
      </c>
      <c r="F41" t="s">
        <v>1</v>
      </c>
      <c r="G41" t="e">
        <v>#N/A</v>
      </c>
      <c r="H41">
        <v>9.1999999999999993</v>
      </c>
      <c r="I41" t="e">
        <v>#N/A</v>
      </c>
      <c r="J41" s="2">
        <v>1.1000000000000001</v>
      </c>
      <c r="K41" s="2" t="e">
        <v>#N/A</v>
      </c>
      <c r="L41" t="s">
        <v>790</v>
      </c>
      <c r="M41" t="e">
        <v>#N/A</v>
      </c>
      <c r="N41">
        <f>2000+RIGHT(Table1[[#This Row],[Release Date]],2)</f>
        <v>2004</v>
      </c>
      <c r="O41">
        <f>_xlfn.MAXIFS(Table1[[#This Row],[Total Shipped]]:Table1[[#This Row],[Total Sales]],Table1[[#This Row],[Total Shipped]]:Table1[[#This Row],[Total Sales]],"&lt;&gt;#N/A")</f>
        <v>1.1000000000000001</v>
      </c>
      <c r="P41">
        <f>_xlfn.MAXIFS(Table1[[#This Row],[VGChartz Score]:[User Score]],Table1[[#This Row],[VGChartz Score]:[User Score]],"&lt;&gt;#N/A")</f>
        <v>9.1999999999999993</v>
      </c>
    </row>
    <row r="42" spans="1:16" hidden="1" x14ac:dyDescent="0.2">
      <c r="A42">
        <f t="shared" si="1"/>
        <v>41</v>
      </c>
      <c r="B42">
        <v>41</v>
      </c>
      <c r="C42" t="s">
        <v>138</v>
      </c>
      <c r="D42" t="s">
        <v>794</v>
      </c>
      <c r="E42" t="s">
        <v>719</v>
      </c>
      <c r="F42" t="s">
        <v>1</v>
      </c>
      <c r="G42" t="e">
        <v>#N/A</v>
      </c>
      <c r="H42">
        <v>6.6</v>
      </c>
      <c r="I42">
        <v>8.5</v>
      </c>
      <c r="J42" s="1" t="e">
        <v>#N/A</v>
      </c>
      <c r="K42" s="1">
        <v>1.08</v>
      </c>
      <c r="L42" t="s">
        <v>795</v>
      </c>
      <c r="M42" t="e">
        <v>#N/A</v>
      </c>
      <c r="N42">
        <f>2000+RIGHT(Table1[[#This Row],[Release Date]],2)</f>
        <v>2005</v>
      </c>
      <c r="O42">
        <f>_xlfn.MAXIFS(Table1[[#This Row],[Total Shipped]]:Table1[[#This Row],[Total Sales]],Table1[[#This Row],[Total Shipped]]:Table1[[#This Row],[Total Sales]],"&lt;&gt;#N/A")</f>
        <v>1.08</v>
      </c>
      <c r="P42">
        <f>_xlfn.MAXIFS(Table1[[#This Row],[VGChartz Score]:[User Score]],Table1[[#This Row],[VGChartz Score]:[User Score]],"&lt;&gt;#N/A")</f>
        <v>8.5</v>
      </c>
    </row>
    <row r="43" spans="1:16" hidden="1" x14ac:dyDescent="0.2">
      <c r="A43">
        <f t="shared" si="1"/>
        <v>42</v>
      </c>
      <c r="B43">
        <v>42</v>
      </c>
      <c r="C43" t="s">
        <v>138</v>
      </c>
      <c r="D43" t="s">
        <v>796</v>
      </c>
      <c r="E43" t="s">
        <v>719</v>
      </c>
      <c r="F43" t="s">
        <v>1</v>
      </c>
      <c r="G43" t="e">
        <v>#N/A</v>
      </c>
      <c r="H43">
        <v>7.2</v>
      </c>
      <c r="I43" t="e">
        <v>#N/A</v>
      </c>
      <c r="J43" s="2">
        <v>1.05</v>
      </c>
      <c r="K43" s="2" t="e">
        <v>#N/A</v>
      </c>
      <c r="L43" t="s">
        <v>797</v>
      </c>
      <c r="M43" t="e">
        <v>#N/A</v>
      </c>
      <c r="N43">
        <f>2000+RIGHT(Table1[[#This Row],[Release Date]],2)</f>
        <v>2005</v>
      </c>
      <c r="O43">
        <f>_xlfn.MAXIFS(Table1[[#This Row],[Total Shipped]]:Table1[[#This Row],[Total Sales]],Table1[[#This Row],[Total Shipped]]:Table1[[#This Row],[Total Sales]],"&lt;&gt;#N/A")</f>
        <v>1.05</v>
      </c>
      <c r="P43">
        <f>_xlfn.MAXIFS(Table1[[#This Row],[VGChartz Score]:[User Score]],Table1[[#This Row],[VGChartz Score]:[User Score]],"&lt;&gt;#N/A")</f>
        <v>7.2</v>
      </c>
    </row>
    <row r="44" spans="1:16" hidden="1" x14ac:dyDescent="0.2">
      <c r="A44">
        <f t="shared" si="1"/>
        <v>43</v>
      </c>
      <c r="B44">
        <v>43</v>
      </c>
      <c r="C44" t="s">
        <v>138</v>
      </c>
      <c r="D44" t="s">
        <v>798</v>
      </c>
      <c r="E44" t="s">
        <v>719</v>
      </c>
      <c r="F44" t="s">
        <v>799</v>
      </c>
      <c r="G44" t="e">
        <v>#N/A</v>
      </c>
      <c r="H44">
        <v>7.4</v>
      </c>
      <c r="I44" t="e">
        <v>#N/A</v>
      </c>
      <c r="J44" s="1" t="e">
        <v>#N/A</v>
      </c>
      <c r="K44" s="1">
        <v>1.04</v>
      </c>
      <c r="L44" t="s">
        <v>800</v>
      </c>
      <c r="M44" t="e">
        <v>#N/A</v>
      </c>
      <c r="N44">
        <f>2000+RIGHT(Table1[[#This Row],[Release Date]],2)</f>
        <v>2006</v>
      </c>
      <c r="O44">
        <f>_xlfn.MAXIFS(Table1[[#This Row],[Total Shipped]]:Table1[[#This Row],[Total Sales]],Table1[[#This Row],[Total Shipped]]:Table1[[#This Row],[Total Sales]],"&lt;&gt;#N/A")</f>
        <v>1.04</v>
      </c>
      <c r="P44">
        <f>_xlfn.MAXIFS(Table1[[#This Row],[VGChartz Score]:[User Score]],Table1[[#This Row],[VGChartz Score]:[User Score]],"&lt;&gt;#N/A")</f>
        <v>7.4</v>
      </c>
    </row>
    <row r="45" spans="1:16" hidden="1" x14ac:dyDescent="0.2">
      <c r="A45">
        <f t="shared" si="1"/>
        <v>44</v>
      </c>
      <c r="B45">
        <v>44</v>
      </c>
      <c r="C45" t="s">
        <v>138</v>
      </c>
      <c r="D45" t="s">
        <v>801</v>
      </c>
      <c r="E45" t="s">
        <v>719</v>
      </c>
      <c r="F45" t="s">
        <v>233</v>
      </c>
      <c r="G45" t="e">
        <v>#N/A</v>
      </c>
      <c r="H45">
        <v>6.9</v>
      </c>
      <c r="I45" t="e">
        <v>#N/A</v>
      </c>
      <c r="J45" s="2" t="e">
        <v>#N/A</v>
      </c>
      <c r="K45" s="2">
        <v>1.02</v>
      </c>
      <c r="L45" t="s">
        <v>802</v>
      </c>
      <c r="M45" t="e">
        <v>#N/A</v>
      </c>
      <c r="N45">
        <f>2000+RIGHT(Table1[[#This Row],[Release Date]],2)</f>
        <v>2004</v>
      </c>
      <c r="O45">
        <f>_xlfn.MAXIFS(Table1[[#This Row],[Total Shipped]]:Table1[[#This Row],[Total Sales]],Table1[[#This Row],[Total Shipped]]:Table1[[#This Row],[Total Sales]],"&lt;&gt;#N/A")</f>
        <v>1.02</v>
      </c>
      <c r="P45">
        <f>_xlfn.MAXIFS(Table1[[#This Row],[VGChartz Score]:[User Score]],Table1[[#This Row],[VGChartz Score]:[User Score]],"&lt;&gt;#N/A")</f>
        <v>6.9</v>
      </c>
    </row>
    <row r="46" spans="1:16" hidden="1" x14ac:dyDescent="0.2">
      <c r="A46">
        <f t="shared" si="1"/>
        <v>45</v>
      </c>
      <c r="B46">
        <v>45</v>
      </c>
      <c r="C46" t="s">
        <v>138</v>
      </c>
      <c r="D46" t="s">
        <v>803</v>
      </c>
      <c r="E46" t="s">
        <v>719</v>
      </c>
      <c r="F46" t="s">
        <v>240</v>
      </c>
      <c r="G46" t="e">
        <v>#N/A</v>
      </c>
      <c r="H46">
        <v>6.8</v>
      </c>
      <c r="I46" t="e">
        <v>#N/A</v>
      </c>
      <c r="J46" s="1">
        <v>1</v>
      </c>
      <c r="K46" s="1" t="e">
        <v>#N/A</v>
      </c>
      <c r="L46" t="s">
        <v>804</v>
      </c>
      <c r="M46" t="e">
        <v>#N/A</v>
      </c>
      <c r="N46">
        <f>2000+RIGHT(Table1[[#This Row],[Release Date]],2)</f>
        <v>2002</v>
      </c>
      <c r="O46">
        <f>_xlfn.MAXIFS(Table1[[#This Row],[Total Shipped]]:Table1[[#This Row],[Total Sales]],Table1[[#This Row],[Total Shipped]]:Table1[[#This Row],[Total Sales]],"&lt;&gt;#N/A")</f>
        <v>1</v>
      </c>
      <c r="P46">
        <f>_xlfn.MAXIFS(Table1[[#This Row],[VGChartz Score]:[User Score]],Table1[[#This Row],[VGChartz Score]:[User Score]],"&lt;&gt;#N/A")</f>
        <v>6.8</v>
      </c>
    </row>
    <row r="47" spans="1:16" hidden="1" x14ac:dyDescent="0.2">
      <c r="A47">
        <f t="shared" si="1"/>
        <v>46</v>
      </c>
      <c r="B47">
        <v>46</v>
      </c>
      <c r="C47" t="s">
        <v>138</v>
      </c>
      <c r="D47" t="s">
        <v>805</v>
      </c>
      <c r="E47" t="s">
        <v>719</v>
      </c>
      <c r="F47" t="s">
        <v>806</v>
      </c>
      <c r="G47" t="e">
        <v>#N/A</v>
      </c>
      <c r="H47">
        <v>8.1999999999999993</v>
      </c>
      <c r="I47" t="e">
        <v>#N/A</v>
      </c>
      <c r="J47" s="2" t="e">
        <v>#N/A</v>
      </c>
      <c r="K47" s="2">
        <v>0.99</v>
      </c>
      <c r="L47" t="s">
        <v>807</v>
      </c>
      <c r="M47" t="e">
        <v>#N/A</v>
      </c>
      <c r="N47">
        <f>2000+RIGHT(Table1[[#This Row],[Release Date]],2)</f>
        <v>2003</v>
      </c>
      <c r="O47">
        <f>_xlfn.MAXIFS(Table1[[#This Row],[Total Shipped]]:Table1[[#This Row],[Total Sales]],Table1[[#This Row],[Total Shipped]]:Table1[[#This Row],[Total Sales]],"&lt;&gt;#N/A")</f>
        <v>0.99</v>
      </c>
      <c r="P47">
        <f>_xlfn.MAXIFS(Table1[[#This Row],[VGChartz Score]:[User Score]],Table1[[#This Row],[VGChartz Score]:[User Score]],"&lt;&gt;#N/A")</f>
        <v>8.1999999999999993</v>
      </c>
    </row>
    <row r="48" spans="1:16" hidden="1" x14ac:dyDescent="0.2">
      <c r="A48">
        <f t="shared" si="1"/>
        <v>47</v>
      </c>
      <c r="B48">
        <v>47</v>
      </c>
      <c r="C48" t="s">
        <v>138</v>
      </c>
      <c r="D48" t="s">
        <v>808</v>
      </c>
      <c r="E48" t="s">
        <v>719</v>
      </c>
      <c r="F48" t="s">
        <v>240</v>
      </c>
      <c r="G48" t="e">
        <v>#N/A</v>
      </c>
      <c r="H48">
        <v>4.9000000000000004</v>
      </c>
      <c r="I48" t="e">
        <v>#N/A</v>
      </c>
      <c r="J48" s="1" t="e">
        <v>#N/A</v>
      </c>
      <c r="K48" s="1">
        <v>0.99</v>
      </c>
      <c r="L48" t="s">
        <v>809</v>
      </c>
      <c r="M48" t="e">
        <v>#N/A</v>
      </c>
      <c r="N48">
        <f>2000+RIGHT(Table1[[#This Row],[Release Date]],2)</f>
        <v>2005</v>
      </c>
      <c r="O48">
        <f>_xlfn.MAXIFS(Table1[[#This Row],[Total Shipped]]:Table1[[#This Row],[Total Sales]],Table1[[#This Row],[Total Shipped]]:Table1[[#This Row],[Total Sales]],"&lt;&gt;#N/A")</f>
        <v>0.99</v>
      </c>
      <c r="P48">
        <f>_xlfn.MAXIFS(Table1[[#This Row],[VGChartz Score]:[User Score]],Table1[[#This Row],[VGChartz Score]:[User Score]],"&lt;&gt;#N/A")</f>
        <v>4.9000000000000004</v>
      </c>
    </row>
    <row r="49" spans="1:16" hidden="1" x14ac:dyDescent="0.2">
      <c r="A49">
        <f t="shared" si="1"/>
        <v>48</v>
      </c>
      <c r="B49">
        <v>48</v>
      </c>
      <c r="C49" t="s">
        <v>138</v>
      </c>
      <c r="D49" t="s">
        <v>810</v>
      </c>
      <c r="E49" t="s">
        <v>719</v>
      </c>
      <c r="F49" t="s">
        <v>675</v>
      </c>
      <c r="G49" t="e">
        <v>#N/A</v>
      </c>
      <c r="H49">
        <v>8.4</v>
      </c>
      <c r="I49" t="e">
        <v>#N/A</v>
      </c>
      <c r="J49" s="2" t="e">
        <v>#N/A</v>
      </c>
      <c r="K49" s="2">
        <v>0.97</v>
      </c>
      <c r="L49" t="s">
        <v>811</v>
      </c>
      <c r="M49" t="e">
        <v>#N/A</v>
      </c>
      <c r="N49">
        <f>2000+RIGHT(Table1[[#This Row],[Release Date]],2)</f>
        <v>2006</v>
      </c>
      <c r="O49">
        <f>_xlfn.MAXIFS(Table1[[#This Row],[Total Shipped]]:Table1[[#This Row],[Total Sales]],Table1[[#This Row],[Total Shipped]]:Table1[[#This Row],[Total Sales]],"&lt;&gt;#N/A")</f>
        <v>0.97</v>
      </c>
      <c r="P49">
        <f>_xlfn.MAXIFS(Table1[[#This Row],[VGChartz Score]:[User Score]],Table1[[#This Row],[VGChartz Score]:[User Score]],"&lt;&gt;#N/A")</f>
        <v>8.4</v>
      </c>
    </row>
    <row r="50" spans="1:16" hidden="1" x14ac:dyDescent="0.2">
      <c r="A50">
        <f t="shared" si="1"/>
        <v>49</v>
      </c>
      <c r="B50">
        <v>49</v>
      </c>
      <c r="C50" t="s">
        <v>138</v>
      </c>
      <c r="D50" t="s">
        <v>812</v>
      </c>
      <c r="E50" t="s">
        <v>719</v>
      </c>
      <c r="F50" t="s">
        <v>759</v>
      </c>
      <c r="G50" t="e">
        <v>#N/A</v>
      </c>
      <c r="H50">
        <v>8.5</v>
      </c>
      <c r="I50" t="e">
        <v>#N/A</v>
      </c>
      <c r="J50" s="1">
        <v>0.95</v>
      </c>
      <c r="K50" s="1" t="e">
        <v>#N/A</v>
      </c>
      <c r="L50" t="s">
        <v>813</v>
      </c>
      <c r="M50" t="e">
        <v>#N/A</v>
      </c>
      <c r="N50">
        <f>2000+RIGHT(Table1[[#This Row],[Release Date]],2)</f>
        <v>2004</v>
      </c>
      <c r="O50">
        <f>_xlfn.MAXIFS(Table1[[#This Row],[Total Shipped]]:Table1[[#This Row],[Total Sales]],Table1[[#This Row],[Total Shipped]]:Table1[[#This Row],[Total Sales]],"&lt;&gt;#N/A")</f>
        <v>0.95</v>
      </c>
      <c r="P50">
        <f>_xlfn.MAXIFS(Table1[[#This Row],[VGChartz Score]:[User Score]],Table1[[#This Row],[VGChartz Score]:[User Score]],"&lt;&gt;#N/A")</f>
        <v>8.5</v>
      </c>
    </row>
    <row r="51" spans="1:16" hidden="1" x14ac:dyDescent="0.2">
      <c r="A51">
        <f t="shared" si="1"/>
        <v>50</v>
      </c>
      <c r="B51">
        <v>50</v>
      </c>
      <c r="C51" t="s">
        <v>138</v>
      </c>
      <c r="D51" t="s">
        <v>814</v>
      </c>
      <c r="E51" t="s">
        <v>719</v>
      </c>
      <c r="F51" t="s">
        <v>661</v>
      </c>
      <c r="G51" t="e">
        <v>#N/A</v>
      </c>
      <c r="H51">
        <v>7.3</v>
      </c>
      <c r="I51" t="e">
        <v>#N/A</v>
      </c>
      <c r="J51" s="2" t="e">
        <v>#N/A</v>
      </c>
      <c r="K51" s="2">
        <v>0.95</v>
      </c>
      <c r="L51" t="s">
        <v>815</v>
      </c>
      <c r="M51" t="e">
        <v>#N/A</v>
      </c>
      <c r="N51">
        <f>2000+RIGHT(Table1[[#This Row],[Release Date]],2)</f>
        <v>2003</v>
      </c>
      <c r="O51">
        <f>_xlfn.MAXIFS(Table1[[#This Row],[Total Shipped]]:Table1[[#This Row],[Total Sales]],Table1[[#This Row],[Total Shipped]]:Table1[[#This Row],[Total Sales]],"&lt;&gt;#N/A")</f>
        <v>0.95</v>
      </c>
      <c r="P51">
        <f>_xlfn.MAXIFS(Table1[[#This Row],[VGChartz Score]:[User Score]],Table1[[#This Row],[VGChartz Score]:[User Score]],"&lt;&gt;#N/A")</f>
        <v>7.3</v>
      </c>
    </row>
    <row r="52" spans="1:16" hidden="1" x14ac:dyDescent="0.2">
      <c r="A52">
        <f t="shared" si="1"/>
        <v>51</v>
      </c>
      <c r="B52">
        <v>51</v>
      </c>
      <c r="C52" t="s">
        <v>138</v>
      </c>
      <c r="D52" t="s">
        <v>816</v>
      </c>
      <c r="E52" t="s">
        <v>719</v>
      </c>
      <c r="F52" t="s">
        <v>661</v>
      </c>
      <c r="G52" t="e">
        <v>#N/A</v>
      </c>
      <c r="H52">
        <v>6.6</v>
      </c>
      <c r="I52" t="e">
        <v>#N/A</v>
      </c>
      <c r="J52" s="1" t="e">
        <v>#N/A</v>
      </c>
      <c r="K52" s="1">
        <v>0.94</v>
      </c>
      <c r="L52" t="s">
        <v>817</v>
      </c>
      <c r="M52" t="e">
        <v>#N/A</v>
      </c>
      <c r="N52">
        <f>2000+RIGHT(Table1[[#This Row],[Release Date]],2)</f>
        <v>2004</v>
      </c>
      <c r="O52">
        <f>_xlfn.MAXIFS(Table1[[#This Row],[Total Shipped]]:Table1[[#This Row],[Total Sales]],Table1[[#This Row],[Total Shipped]]:Table1[[#This Row],[Total Sales]],"&lt;&gt;#N/A")</f>
        <v>0.94</v>
      </c>
      <c r="P52">
        <f>_xlfn.MAXIFS(Table1[[#This Row],[VGChartz Score]:[User Score]],Table1[[#This Row],[VGChartz Score]:[User Score]],"&lt;&gt;#N/A")</f>
        <v>6.6</v>
      </c>
    </row>
    <row r="53" spans="1:16" hidden="1" x14ac:dyDescent="0.2">
      <c r="A53">
        <f t="shared" si="1"/>
        <v>52</v>
      </c>
      <c r="B53">
        <v>52</v>
      </c>
      <c r="C53" t="s">
        <v>138</v>
      </c>
      <c r="D53" t="s">
        <v>818</v>
      </c>
      <c r="E53" t="s">
        <v>719</v>
      </c>
      <c r="F53" t="s">
        <v>661</v>
      </c>
      <c r="G53" t="e">
        <v>#N/A</v>
      </c>
      <c r="H53">
        <v>7.6</v>
      </c>
      <c r="I53" t="e">
        <v>#N/A</v>
      </c>
      <c r="J53" s="2" t="e">
        <v>#N/A</v>
      </c>
      <c r="K53" s="2">
        <v>0.93</v>
      </c>
      <c r="L53" t="s">
        <v>819</v>
      </c>
      <c r="M53" t="e">
        <v>#N/A</v>
      </c>
      <c r="N53">
        <f>2000+RIGHT(Table1[[#This Row],[Release Date]],2)</f>
        <v>2006</v>
      </c>
      <c r="O53">
        <f>_xlfn.MAXIFS(Table1[[#This Row],[Total Shipped]]:Table1[[#This Row],[Total Sales]],Table1[[#This Row],[Total Shipped]]:Table1[[#This Row],[Total Sales]],"&lt;&gt;#N/A")</f>
        <v>0.93</v>
      </c>
      <c r="P53">
        <f>_xlfn.MAXIFS(Table1[[#This Row],[VGChartz Score]:[User Score]],Table1[[#This Row],[VGChartz Score]:[User Score]],"&lt;&gt;#N/A")</f>
        <v>7.6</v>
      </c>
    </row>
    <row r="54" spans="1:16" hidden="1" x14ac:dyDescent="0.2">
      <c r="A54">
        <f t="shared" si="1"/>
        <v>53</v>
      </c>
      <c r="B54">
        <v>53</v>
      </c>
      <c r="C54" t="s">
        <v>138</v>
      </c>
      <c r="D54" t="s">
        <v>820</v>
      </c>
      <c r="E54" t="s">
        <v>719</v>
      </c>
      <c r="F54" t="s">
        <v>240</v>
      </c>
      <c r="G54" t="e">
        <v>#N/A</v>
      </c>
      <c r="H54" t="e">
        <v>#N/A</v>
      </c>
      <c r="I54" t="e">
        <v>#N/A</v>
      </c>
      <c r="J54" s="1" t="e">
        <v>#N/A</v>
      </c>
      <c r="K54" s="1">
        <v>0.92</v>
      </c>
      <c r="L54" t="s">
        <v>821</v>
      </c>
      <c r="M54" t="e">
        <v>#N/A</v>
      </c>
      <c r="N54">
        <f>2000+RIGHT(Table1[[#This Row],[Release Date]],2)</f>
        <v>2006</v>
      </c>
      <c r="O54">
        <f>_xlfn.MAXIFS(Table1[[#This Row],[Total Shipped]]:Table1[[#This Row],[Total Sales]],Table1[[#This Row],[Total Shipped]]:Table1[[#This Row],[Total Sales]],"&lt;&gt;#N/A")</f>
        <v>0.92</v>
      </c>
      <c r="P54">
        <f>_xlfn.MAXIFS(Table1[[#This Row],[VGChartz Score]:[User Score]],Table1[[#This Row],[VGChartz Score]:[User Score]],"&lt;&gt;#N/A")</f>
        <v>0</v>
      </c>
    </row>
    <row r="55" spans="1:16" hidden="1" x14ac:dyDescent="0.2">
      <c r="A55">
        <f t="shared" si="1"/>
        <v>54</v>
      </c>
      <c r="B55">
        <v>54</v>
      </c>
      <c r="C55" t="s">
        <v>138</v>
      </c>
      <c r="D55" t="s">
        <v>822</v>
      </c>
      <c r="E55" t="s">
        <v>719</v>
      </c>
      <c r="F55" t="s">
        <v>661</v>
      </c>
      <c r="G55" t="e">
        <v>#N/A</v>
      </c>
      <c r="H55" t="e">
        <v>#N/A</v>
      </c>
      <c r="I55" t="e">
        <v>#N/A</v>
      </c>
      <c r="J55" s="2" t="e">
        <v>#N/A</v>
      </c>
      <c r="K55" s="2">
        <v>0.89</v>
      </c>
      <c r="L55" t="s">
        <v>823</v>
      </c>
      <c r="M55" t="e">
        <v>#N/A</v>
      </c>
      <c r="N55">
        <f>2000+RIGHT(Table1[[#This Row],[Release Date]],2)</f>
        <v>2003</v>
      </c>
      <c r="O55">
        <f>_xlfn.MAXIFS(Table1[[#This Row],[Total Shipped]]:Table1[[#This Row],[Total Sales]],Table1[[#This Row],[Total Shipped]]:Table1[[#This Row],[Total Sales]],"&lt;&gt;#N/A")</f>
        <v>0.89</v>
      </c>
      <c r="P55">
        <f>_xlfn.MAXIFS(Table1[[#This Row],[VGChartz Score]:[User Score]],Table1[[#This Row],[VGChartz Score]:[User Score]],"&lt;&gt;#N/A")</f>
        <v>0</v>
      </c>
    </row>
    <row r="56" spans="1:16" hidden="1" x14ac:dyDescent="0.2">
      <c r="A56">
        <f t="shared" si="1"/>
        <v>55</v>
      </c>
      <c r="B56">
        <v>55</v>
      </c>
      <c r="C56" t="s">
        <v>138</v>
      </c>
      <c r="D56" t="s">
        <v>824</v>
      </c>
      <c r="E56" t="s">
        <v>719</v>
      </c>
      <c r="F56" t="s">
        <v>233</v>
      </c>
      <c r="G56" t="e">
        <v>#N/A</v>
      </c>
      <c r="H56">
        <v>7.7</v>
      </c>
      <c r="I56" t="e">
        <v>#N/A</v>
      </c>
      <c r="J56" s="1" t="e">
        <v>#N/A</v>
      </c>
      <c r="K56" s="1">
        <v>0.84</v>
      </c>
      <c r="L56" t="s">
        <v>825</v>
      </c>
      <c r="M56" t="e">
        <v>#N/A</v>
      </c>
      <c r="N56">
        <f>2000+RIGHT(Table1[[#This Row],[Release Date]],2)</f>
        <v>2004</v>
      </c>
      <c r="O56">
        <f>_xlfn.MAXIFS(Table1[[#This Row],[Total Shipped]]:Table1[[#This Row],[Total Sales]],Table1[[#This Row],[Total Shipped]]:Table1[[#This Row],[Total Sales]],"&lt;&gt;#N/A")</f>
        <v>0.84</v>
      </c>
      <c r="P56">
        <f>_xlfn.MAXIFS(Table1[[#This Row],[VGChartz Score]:[User Score]],Table1[[#This Row],[VGChartz Score]:[User Score]],"&lt;&gt;#N/A")</f>
        <v>7.7</v>
      </c>
    </row>
    <row r="57" spans="1:16" hidden="1" x14ac:dyDescent="0.2">
      <c r="A57">
        <f t="shared" si="1"/>
        <v>56</v>
      </c>
      <c r="B57">
        <v>56</v>
      </c>
      <c r="C57" t="s">
        <v>138</v>
      </c>
      <c r="D57" t="s">
        <v>826</v>
      </c>
      <c r="E57" t="s">
        <v>719</v>
      </c>
      <c r="F57" t="s">
        <v>661</v>
      </c>
      <c r="G57" t="e">
        <v>#N/A</v>
      </c>
      <c r="H57">
        <v>6.2</v>
      </c>
      <c r="I57" t="e">
        <v>#N/A</v>
      </c>
      <c r="J57" s="2" t="e">
        <v>#N/A</v>
      </c>
      <c r="K57" s="2">
        <v>0.84</v>
      </c>
      <c r="L57" t="s">
        <v>827</v>
      </c>
      <c r="M57" t="e">
        <v>#N/A</v>
      </c>
      <c r="N57">
        <f>2000+RIGHT(Table1[[#This Row],[Release Date]],2)</f>
        <v>2004</v>
      </c>
      <c r="O57">
        <f>_xlfn.MAXIFS(Table1[[#This Row],[Total Shipped]]:Table1[[#This Row],[Total Sales]],Table1[[#This Row],[Total Shipped]]:Table1[[#This Row],[Total Sales]],"&lt;&gt;#N/A")</f>
        <v>0.84</v>
      </c>
      <c r="P57">
        <f>_xlfn.MAXIFS(Table1[[#This Row],[VGChartz Score]:[User Score]],Table1[[#This Row],[VGChartz Score]:[User Score]],"&lt;&gt;#N/A")</f>
        <v>6.2</v>
      </c>
    </row>
    <row r="58" spans="1:16" hidden="1" x14ac:dyDescent="0.2">
      <c r="A58">
        <f t="shared" si="1"/>
        <v>57</v>
      </c>
      <c r="B58">
        <v>57</v>
      </c>
      <c r="C58" t="s">
        <v>138</v>
      </c>
      <c r="D58" t="s">
        <v>828</v>
      </c>
      <c r="E58" t="s">
        <v>719</v>
      </c>
      <c r="F58" t="s">
        <v>233</v>
      </c>
      <c r="G58" t="e">
        <v>#N/A</v>
      </c>
      <c r="H58">
        <v>9.1</v>
      </c>
      <c r="I58" t="e">
        <v>#N/A</v>
      </c>
      <c r="J58" s="1" t="e">
        <v>#N/A</v>
      </c>
      <c r="K58" s="1">
        <v>0.82</v>
      </c>
      <c r="L58" t="s">
        <v>829</v>
      </c>
      <c r="M58" t="e">
        <v>#N/A</v>
      </c>
      <c r="N58">
        <f>2000+RIGHT(Table1[[#This Row],[Release Date]],2)</f>
        <v>2001</v>
      </c>
      <c r="O58">
        <f>_xlfn.MAXIFS(Table1[[#This Row],[Total Shipped]]:Table1[[#This Row],[Total Sales]],Table1[[#This Row],[Total Shipped]]:Table1[[#This Row],[Total Sales]],"&lt;&gt;#N/A")</f>
        <v>0.82</v>
      </c>
      <c r="P58">
        <f>_xlfn.MAXIFS(Table1[[#This Row],[VGChartz Score]:[User Score]],Table1[[#This Row],[VGChartz Score]:[User Score]],"&lt;&gt;#N/A")</f>
        <v>9.1</v>
      </c>
    </row>
    <row r="59" spans="1:16" hidden="1" x14ac:dyDescent="0.2">
      <c r="A59">
        <f t="shared" si="1"/>
        <v>58</v>
      </c>
      <c r="B59">
        <v>58</v>
      </c>
      <c r="C59" t="s">
        <v>138</v>
      </c>
      <c r="D59" t="s">
        <v>830</v>
      </c>
      <c r="E59" t="s">
        <v>719</v>
      </c>
      <c r="F59" t="s">
        <v>1</v>
      </c>
      <c r="G59" t="e">
        <v>#N/A</v>
      </c>
      <c r="H59">
        <v>8.4</v>
      </c>
      <c r="I59" t="e">
        <v>#N/A</v>
      </c>
      <c r="J59" s="2" t="e">
        <v>#N/A</v>
      </c>
      <c r="K59" s="2">
        <v>0.81</v>
      </c>
      <c r="L59" t="s">
        <v>831</v>
      </c>
      <c r="M59" t="e">
        <v>#N/A</v>
      </c>
      <c r="N59">
        <f>2000+RIGHT(Table1[[#This Row],[Release Date]],2)</f>
        <v>2004</v>
      </c>
      <c r="O59">
        <f>_xlfn.MAXIFS(Table1[[#This Row],[Total Shipped]]:Table1[[#This Row],[Total Sales]],Table1[[#This Row],[Total Shipped]]:Table1[[#This Row],[Total Sales]],"&lt;&gt;#N/A")</f>
        <v>0.81</v>
      </c>
      <c r="P59">
        <f>_xlfn.MAXIFS(Table1[[#This Row],[VGChartz Score]:[User Score]],Table1[[#This Row],[VGChartz Score]:[User Score]],"&lt;&gt;#N/A")</f>
        <v>8.4</v>
      </c>
    </row>
    <row r="60" spans="1:16" hidden="1" x14ac:dyDescent="0.2">
      <c r="A60">
        <f t="shared" si="1"/>
        <v>59</v>
      </c>
      <c r="B60">
        <v>59</v>
      </c>
      <c r="C60" t="s">
        <v>138</v>
      </c>
      <c r="D60" t="s">
        <v>832</v>
      </c>
      <c r="E60" t="s">
        <v>719</v>
      </c>
      <c r="F60" t="s">
        <v>675</v>
      </c>
      <c r="G60" t="e">
        <v>#N/A</v>
      </c>
      <c r="H60">
        <v>8.3000000000000007</v>
      </c>
      <c r="I60" t="e">
        <v>#N/A</v>
      </c>
      <c r="J60" s="1" t="e">
        <v>#N/A</v>
      </c>
      <c r="K60" s="1">
        <v>0.8</v>
      </c>
      <c r="L60" t="s">
        <v>833</v>
      </c>
      <c r="M60" t="e">
        <v>#N/A</v>
      </c>
      <c r="N60">
        <f>2000+RIGHT(Table1[[#This Row],[Release Date]],2)</f>
        <v>2003</v>
      </c>
      <c r="O60">
        <f>_xlfn.MAXIFS(Table1[[#This Row],[Total Shipped]]:Table1[[#This Row],[Total Sales]],Table1[[#This Row],[Total Shipped]]:Table1[[#This Row],[Total Sales]],"&lt;&gt;#N/A")</f>
        <v>0.8</v>
      </c>
      <c r="P60">
        <f>_xlfn.MAXIFS(Table1[[#This Row],[VGChartz Score]:[User Score]],Table1[[#This Row],[VGChartz Score]:[User Score]],"&lt;&gt;#N/A")</f>
        <v>8.3000000000000007</v>
      </c>
    </row>
    <row r="61" spans="1:16" hidden="1" x14ac:dyDescent="0.2">
      <c r="A61">
        <f t="shared" si="1"/>
        <v>60</v>
      </c>
      <c r="B61">
        <v>60</v>
      </c>
      <c r="C61" t="s">
        <v>138</v>
      </c>
      <c r="D61" t="s">
        <v>834</v>
      </c>
      <c r="E61" t="s">
        <v>719</v>
      </c>
      <c r="F61" t="s">
        <v>324</v>
      </c>
      <c r="G61" t="e">
        <v>#N/A</v>
      </c>
      <c r="H61">
        <v>7.5</v>
      </c>
      <c r="I61" t="e">
        <v>#N/A</v>
      </c>
      <c r="J61" s="2" t="e">
        <v>#N/A</v>
      </c>
      <c r="K61" s="2">
        <v>0.8</v>
      </c>
      <c r="L61" t="s">
        <v>835</v>
      </c>
      <c r="M61" t="e">
        <v>#N/A</v>
      </c>
      <c r="N61">
        <f>2000+RIGHT(Table1[[#This Row],[Release Date]],2)</f>
        <v>2002</v>
      </c>
      <c r="O61">
        <f>_xlfn.MAXIFS(Table1[[#This Row],[Total Shipped]]:Table1[[#This Row],[Total Sales]],Table1[[#This Row],[Total Shipped]]:Table1[[#This Row],[Total Sales]],"&lt;&gt;#N/A")</f>
        <v>0.8</v>
      </c>
      <c r="P61">
        <f>_xlfn.MAXIFS(Table1[[#This Row],[VGChartz Score]:[User Score]],Table1[[#This Row],[VGChartz Score]:[User Score]],"&lt;&gt;#N/A")</f>
        <v>7.5</v>
      </c>
    </row>
    <row r="62" spans="1:16" hidden="1" x14ac:dyDescent="0.2">
      <c r="A62">
        <f t="shared" si="1"/>
        <v>61</v>
      </c>
      <c r="B62">
        <v>61</v>
      </c>
      <c r="C62" t="s">
        <v>138</v>
      </c>
      <c r="D62" t="s">
        <v>836</v>
      </c>
      <c r="E62" t="s">
        <v>719</v>
      </c>
      <c r="F62" t="s">
        <v>837</v>
      </c>
      <c r="G62" t="e">
        <v>#N/A</v>
      </c>
      <c r="H62">
        <v>8.1999999999999993</v>
      </c>
      <c r="I62" t="e">
        <v>#N/A</v>
      </c>
      <c r="J62" s="1" t="e">
        <v>#N/A</v>
      </c>
      <c r="K62" s="1">
        <v>0.79</v>
      </c>
      <c r="L62" t="s">
        <v>838</v>
      </c>
      <c r="M62" t="e">
        <v>#N/A</v>
      </c>
      <c r="N62">
        <f>2000+RIGHT(Table1[[#This Row],[Release Date]],2)</f>
        <v>2004</v>
      </c>
      <c r="O62">
        <f>_xlfn.MAXIFS(Table1[[#This Row],[Total Shipped]]:Table1[[#This Row],[Total Sales]],Table1[[#This Row],[Total Shipped]]:Table1[[#This Row],[Total Sales]],"&lt;&gt;#N/A")</f>
        <v>0.79</v>
      </c>
      <c r="P62">
        <f>_xlfn.MAXIFS(Table1[[#This Row],[VGChartz Score]:[User Score]],Table1[[#This Row],[VGChartz Score]:[User Score]],"&lt;&gt;#N/A")</f>
        <v>8.1999999999999993</v>
      </c>
    </row>
    <row r="63" spans="1:16" hidden="1" x14ac:dyDescent="0.2">
      <c r="A63">
        <f t="shared" si="1"/>
        <v>62</v>
      </c>
      <c r="B63">
        <v>62</v>
      </c>
      <c r="C63" t="s">
        <v>138</v>
      </c>
      <c r="D63" t="s">
        <v>839</v>
      </c>
      <c r="E63" t="s">
        <v>719</v>
      </c>
      <c r="F63" t="s">
        <v>324</v>
      </c>
      <c r="G63" t="e">
        <v>#N/A</v>
      </c>
      <c r="H63">
        <v>8.1</v>
      </c>
      <c r="I63" t="e">
        <v>#N/A</v>
      </c>
      <c r="J63" s="2" t="e">
        <v>#N/A</v>
      </c>
      <c r="K63" s="2">
        <v>0.78</v>
      </c>
      <c r="L63" t="s">
        <v>840</v>
      </c>
      <c r="M63" t="e">
        <v>#N/A</v>
      </c>
      <c r="N63">
        <f>2000+RIGHT(Table1[[#This Row],[Release Date]],2)</f>
        <v>2002</v>
      </c>
      <c r="O63">
        <f>_xlfn.MAXIFS(Table1[[#This Row],[Total Shipped]]:Table1[[#This Row],[Total Sales]],Table1[[#This Row],[Total Shipped]]:Table1[[#This Row],[Total Sales]],"&lt;&gt;#N/A")</f>
        <v>0.78</v>
      </c>
      <c r="P63">
        <f>_xlfn.MAXIFS(Table1[[#This Row],[VGChartz Score]:[User Score]],Table1[[#This Row],[VGChartz Score]:[User Score]],"&lt;&gt;#N/A")</f>
        <v>8.1</v>
      </c>
    </row>
    <row r="64" spans="1:16" hidden="1" x14ac:dyDescent="0.2">
      <c r="A64">
        <f t="shared" si="1"/>
        <v>63</v>
      </c>
      <c r="B64">
        <v>63</v>
      </c>
      <c r="C64" t="s">
        <v>138</v>
      </c>
      <c r="D64" t="s">
        <v>841</v>
      </c>
      <c r="E64" t="s">
        <v>719</v>
      </c>
      <c r="F64" t="s">
        <v>324</v>
      </c>
      <c r="G64" t="e">
        <v>#N/A</v>
      </c>
      <c r="H64">
        <v>7.5</v>
      </c>
      <c r="I64" t="e">
        <v>#N/A</v>
      </c>
      <c r="J64" s="1" t="e">
        <v>#N/A</v>
      </c>
      <c r="K64" s="1">
        <v>0.72</v>
      </c>
      <c r="L64" t="s">
        <v>842</v>
      </c>
      <c r="M64" t="e">
        <v>#N/A</v>
      </c>
      <c r="N64">
        <f>2000+RIGHT(Table1[[#This Row],[Release Date]],2)</f>
        <v>2002</v>
      </c>
      <c r="O64">
        <f>_xlfn.MAXIFS(Table1[[#This Row],[Total Shipped]]:Table1[[#This Row],[Total Sales]],Table1[[#This Row],[Total Shipped]]:Table1[[#This Row],[Total Sales]],"&lt;&gt;#N/A")</f>
        <v>0.72</v>
      </c>
      <c r="P64">
        <f>_xlfn.MAXIFS(Table1[[#This Row],[VGChartz Score]:[User Score]],Table1[[#This Row],[VGChartz Score]:[User Score]],"&lt;&gt;#N/A")</f>
        <v>7.5</v>
      </c>
    </row>
    <row r="65" spans="1:16" hidden="1" x14ac:dyDescent="0.2">
      <c r="A65">
        <f t="shared" si="1"/>
        <v>64</v>
      </c>
      <c r="B65">
        <v>64</v>
      </c>
      <c r="C65" t="s">
        <v>138</v>
      </c>
      <c r="D65" t="s">
        <v>843</v>
      </c>
      <c r="E65" t="s">
        <v>719</v>
      </c>
      <c r="F65" t="s">
        <v>844</v>
      </c>
      <c r="G65" t="e">
        <v>#N/A</v>
      </c>
      <c r="H65">
        <v>7.5</v>
      </c>
      <c r="I65" t="e">
        <v>#N/A</v>
      </c>
      <c r="J65" s="2" t="e">
        <v>#N/A</v>
      </c>
      <c r="K65" s="2">
        <v>0.71</v>
      </c>
      <c r="L65" t="s">
        <v>845</v>
      </c>
      <c r="M65" t="e">
        <v>#N/A</v>
      </c>
      <c r="N65">
        <f>2000+RIGHT(Table1[[#This Row],[Release Date]],2)</f>
        <v>2002</v>
      </c>
      <c r="O65">
        <f>_xlfn.MAXIFS(Table1[[#This Row],[Total Shipped]]:Table1[[#This Row],[Total Sales]],Table1[[#This Row],[Total Shipped]]:Table1[[#This Row],[Total Sales]],"&lt;&gt;#N/A")</f>
        <v>0.71</v>
      </c>
      <c r="P65">
        <f>_xlfn.MAXIFS(Table1[[#This Row],[VGChartz Score]:[User Score]],Table1[[#This Row],[VGChartz Score]:[User Score]],"&lt;&gt;#N/A")</f>
        <v>7.5</v>
      </c>
    </row>
    <row r="66" spans="1:16" hidden="1" x14ac:dyDescent="0.2">
      <c r="A66">
        <f t="shared" si="1"/>
        <v>65</v>
      </c>
      <c r="B66">
        <v>65</v>
      </c>
      <c r="C66" t="s">
        <v>138</v>
      </c>
      <c r="D66" t="s">
        <v>846</v>
      </c>
      <c r="E66" t="s">
        <v>719</v>
      </c>
      <c r="F66" t="s">
        <v>103</v>
      </c>
      <c r="G66" t="e">
        <v>#N/A</v>
      </c>
      <c r="H66">
        <v>4.4000000000000004</v>
      </c>
      <c r="I66" t="e">
        <v>#N/A</v>
      </c>
      <c r="J66" s="1" t="e">
        <v>#N/A</v>
      </c>
      <c r="K66" s="1">
        <v>0.71</v>
      </c>
      <c r="L66" t="s">
        <v>847</v>
      </c>
      <c r="M66" t="e">
        <v>#N/A</v>
      </c>
      <c r="N66">
        <f>2000+RIGHT(Table1[[#This Row],[Release Date]],2)</f>
        <v>2003</v>
      </c>
      <c r="O66">
        <f>_xlfn.MAXIFS(Table1[[#This Row],[Total Shipped]]:Table1[[#This Row],[Total Sales]],Table1[[#This Row],[Total Shipped]]:Table1[[#This Row],[Total Sales]],"&lt;&gt;#N/A")</f>
        <v>0.71</v>
      </c>
      <c r="P66">
        <f>_xlfn.MAXIFS(Table1[[#This Row],[VGChartz Score]:[User Score]],Table1[[#This Row],[VGChartz Score]:[User Score]],"&lt;&gt;#N/A")</f>
        <v>4.4000000000000004</v>
      </c>
    </row>
    <row r="67" spans="1:16" hidden="1" x14ac:dyDescent="0.2">
      <c r="A67">
        <f t="shared" si="1"/>
        <v>66</v>
      </c>
      <c r="B67">
        <v>66</v>
      </c>
      <c r="C67" t="s">
        <v>138</v>
      </c>
      <c r="D67" t="s">
        <v>848</v>
      </c>
      <c r="E67" t="s">
        <v>719</v>
      </c>
      <c r="F67" t="s">
        <v>806</v>
      </c>
      <c r="G67" t="e">
        <v>#N/A</v>
      </c>
      <c r="H67">
        <v>5</v>
      </c>
      <c r="I67" t="e">
        <v>#N/A</v>
      </c>
      <c r="J67" s="2" t="e">
        <v>#N/A</v>
      </c>
      <c r="K67" s="2">
        <v>0.71</v>
      </c>
      <c r="L67" t="s">
        <v>849</v>
      </c>
      <c r="M67" t="e">
        <v>#N/A</v>
      </c>
      <c r="N67">
        <f>2000+RIGHT(Table1[[#This Row],[Release Date]],2)</f>
        <v>2002</v>
      </c>
      <c r="O67">
        <f>_xlfn.MAXIFS(Table1[[#This Row],[Total Shipped]]:Table1[[#This Row],[Total Sales]],Table1[[#This Row],[Total Shipped]]:Table1[[#This Row],[Total Sales]],"&lt;&gt;#N/A")</f>
        <v>0.71</v>
      </c>
      <c r="P67">
        <f>_xlfn.MAXIFS(Table1[[#This Row],[VGChartz Score]:[User Score]],Table1[[#This Row],[VGChartz Score]:[User Score]],"&lt;&gt;#N/A")</f>
        <v>5</v>
      </c>
    </row>
    <row r="68" spans="1:16" hidden="1" x14ac:dyDescent="0.2">
      <c r="A68">
        <f t="shared" si="1"/>
        <v>67</v>
      </c>
      <c r="B68">
        <v>67</v>
      </c>
      <c r="C68" t="s">
        <v>138</v>
      </c>
      <c r="D68" t="s">
        <v>850</v>
      </c>
      <c r="E68" t="s">
        <v>719</v>
      </c>
      <c r="F68" t="s">
        <v>1</v>
      </c>
      <c r="G68" t="e">
        <v>#N/A</v>
      </c>
      <c r="H68" t="e">
        <v>#N/A</v>
      </c>
      <c r="I68" t="e">
        <v>#N/A</v>
      </c>
      <c r="J68" s="1" t="e">
        <v>#N/A</v>
      </c>
      <c r="K68" s="1">
        <v>0.71</v>
      </c>
      <c r="L68" t="s">
        <v>851</v>
      </c>
      <c r="M68" t="e">
        <v>#N/A</v>
      </c>
      <c r="N68">
        <f>2000+RIGHT(Table1[[#This Row],[Release Date]],2)</f>
        <v>2004</v>
      </c>
      <c r="O68">
        <f>_xlfn.MAXIFS(Table1[[#This Row],[Total Shipped]]:Table1[[#This Row],[Total Sales]],Table1[[#This Row],[Total Shipped]]:Table1[[#This Row],[Total Sales]],"&lt;&gt;#N/A")</f>
        <v>0.71</v>
      </c>
      <c r="P68">
        <f>_xlfn.MAXIFS(Table1[[#This Row],[VGChartz Score]:[User Score]],Table1[[#This Row],[VGChartz Score]:[User Score]],"&lt;&gt;#N/A")</f>
        <v>0</v>
      </c>
    </row>
    <row r="69" spans="1:16" hidden="1" x14ac:dyDescent="0.2">
      <c r="A69">
        <f t="shared" si="1"/>
        <v>68</v>
      </c>
      <c r="B69">
        <v>68</v>
      </c>
      <c r="C69" t="s">
        <v>138</v>
      </c>
      <c r="D69" t="s">
        <v>852</v>
      </c>
      <c r="E69" t="s">
        <v>719</v>
      </c>
      <c r="F69" t="s">
        <v>233</v>
      </c>
      <c r="G69" t="e">
        <v>#N/A</v>
      </c>
      <c r="H69">
        <v>9</v>
      </c>
      <c r="I69" t="e">
        <v>#N/A</v>
      </c>
      <c r="J69" s="2" t="e">
        <v>#N/A</v>
      </c>
      <c r="K69" s="2">
        <v>0.7</v>
      </c>
      <c r="L69" t="s">
        <v>853</v>
      </c>
      <c r="M69" t="e">
        <v>#N/A</v>
      </c>
      <c r="N69">
        <f>2000+RIGHT(Table1[[#This Row],[Release Date]],2)</f>
        <v>2003</v>
      </c>
      <c r="O69">
        <f>_xlfn.MAXIFS(Table1[[#This Row],[Total Shipped]]:Table1[[#This Row],[Total Sales]],Table1[[#This Row],[Total Shipped]]:Table1[[#This Row],[Total Sales]],"&lt;&gt;#N/A")</f>
        <v>0.7</v>
      </c>
      <c r="P69">
        <f>_xlfn.MAXIFS(Table1[[#This Row],[VGChartz Score]:[User Score]],Table1[[#This Row],[VGChartz Score]:[User Score]],"&lt;&gt;#N/A")</f>
        <v>9</v>
      </c>
    </row>
    <row r="70" spans="1:16" hidden="1" x14ac:dyDescent="0.2">
      <c r="A70">
        <f t="shared" si="1"/>
        <v>69</v>
      </c>
      <c r="B70">
        <v>69</v>
      </c>
      <c r="C70" t="s">
        <v>138</v>
      </c>
      <c r="D70" t="s">
        <v>854</v>
      </c>
      <c r="E70" t="s">
        <v>719</v>
      </c>
      <c r="F70" t="s">
        <v>244</v>
      </c>
      <c r="G70" t="e">
        <v>#N/A</v>
      </c>
      <c r="H70">
        <v>9.1999999999999993</v>
      </c>
      <c r="I70" t="e">
        <v>#N/A</v>
      </c>
      <c r="J70" s="1" t="e">
        <v>#N/A</v>
      </c>
      <c r="K70" s="1">
        <v>0.7</v>
      </c>
      <c r="L70" t="s">
        <v>855</v>
      </c>
      <c r="M70" t="e">
        <v>#N/A</v>
      </c>
      <c r="N70">
        <f>2000+RIGHT(Table1[[#This Row],[Release Date]],2)</f>
        <v>2004</v>
      </c>
      <c r="O70">
        <f>_xlfn.MAXIFS(Table1[[#This Row],[Total Shipped]]:Table1[[#This Row],[Total Sales]],Table1[[#This Row],[Total Shipped]]:Table1[[#This Row],[Total Sales]],"&lt;&gt;#N/A")</f>
        <v>0.7</v>
      </c>
      <c r="P70">
        <f>_xlfn.MAXIFS(Table1[[#This Row],[VGChartz Score]:[User Score]],Table1[[#This Row],[VGChartz Score]:[User Score]],"&lt;&gt;#N/A")</f>
        <v>9.1999999999999993</v>
      </c>
    </row>
    <row r="71" spans="1:16" hidden="1" x14ac:dyDescent="0.2">
      <c r="A71">
        <f t="shared" si="1"/>
        <v>70</v>
      </c>
      <c r="B71">
        <v>70</v>
      </c>
      <c r="C71" t="s">
        <v>138</v>
      </c>
      <c r="D71" t="s">
        <v>856</v>
      </c>
      <c r="E71" t="s">
        <v>719</v>
      </c>
      <c r="F71" t="s">
        <v>844</v>
      </c>
      <c r="G71" t="e">
        <v>#N/A</v>
      </c>
      <c r="H71">
        <v>6.8</v>
      </c>
      <c r="I71" t="e">
        <v>#N/A</v>
      </c>
      <c r="J71" s="2" t="e">
        <v>#N/A</v>
      </c>
      <c r="K71" s="2">
        <v>0.69</v>
      </c>
      <c r="L71" t="s">
        <v>857</v>
      </c>
      <c r="M71" t="e">
        <v>#N/A</v>
      </c>
      <c r="N71">
        <f>2000+RIGHT(Table1[[#This Row],[Release Date]],2)</f>
        <v>2003</v>
      </c>
      <c r="O71">
        <f>_xlfn.MAXIFS(Table1[[#This Row],[Total Shipped]]:Table1[[#This Row],[Total Sales]],Table1[[#This Row],[Total Shipped]]:Table1[[#This Row],[Total Sales]],"&lt;&gt;#N/A")</f>
        <v>0.69</v>
      </c>
      <c r="P71">
        <f>_xlfn.MAXIFS(Table1[[#This Row],[VGChartz Score]:[User Score]],Table1[[#This Row],[VGChartz Score]:[User Score]],"&lt;&gt;#N/A")</f>
        <v>6.8</v>
      </c>
    </row>
    <row r="72" spans="1:16" hidden="1" x14ac:dyDescent="0.2">
      <c r="A72">
        <f t="shared" si="1"/>
        <v>71</v>
      </c>
      <c r="B72">
        <v>71</v>
      </c>
      <c r="C72" t="s">
        <v>138</v>
      </c>
      <c r="D72" t="s">
        <v>858</v>
      </c>
      <c r="E72" t="s">
        <v>719</v>
      </c>
      <c r="F72" t="s">
        <v>324</v>
      </c>
      <c r="G72" t="e">
        <v>#N/A</v>
      </c>
      <c r="H72" t="e">
        <v>#N/A</v>
      </c>
      <c r="I72" t="e">
        <v>#N/A</v>
      </c>
      <c r="J72" s="1" t="e">
        <v>#N/A</v>
      </c>
      <c r="K72" s="1">
        <v>0.69</v>
      </c>
      <c r="L72" t="s">
        <v>859</v>
      </c>
      <c r="M72" t="e">
        <v>#N/A</v>
      </c>
      <c r="N72">
        <f>2000+RIGHT(Table1[[#This Row],[Release Date]],2)</f>
        <v>2002</v>
      </c>
      <c r="O72">
        <f>_xlfn.MAXIFS(Table1[[#This Row],[Total Shipped]]:Table1[[#This Row],[Total Sales]],Table1[[#This Row],[Total Shipped]]:Table1[[#This Row],[Total Sales]],"&lt;&gt;#N/A")</f>
        <v>0.69</v>
      </c>
      <c r="P72">
        <f>_xlfn.MAXIFS(Table1[[#This Row],[VGChartz Score]:[User Score]],Table1[[#This Row],[VGChartz Score]:[User Score]],"&lt;&gt;#N/A")</f>
        <v>0</v>
      </c>
    </row>
    <row r="73" spans="1:16" hidden="1" x14ac:dyDescent="0.2">
      <c r="A73">
        <f t="shared" si="1"/>
        <v>72</v>
      </c>
      <c r="B73">
        <v>72</v>
      </c>
      <c r="C73" t="s">
        <v>138</v>
      </c>
      <c r="D73" t="s">
        <v>860</v>
      </c>
      <c r="E73" t="s">
        <v>719</v>
      </c>
      <c r="F73" t="s">
        <v>324</v>
      </c>
      <c r="G73" t="e">
        <v>#N/A</v>
      </c>
      <c r="H73">
        <v>8.6999999999999993</v>
      </c>
      <c r="I73" t="e">
        <v>#N/A</v>
      </c>
      <c r="J73" s="2" t="e">
        <v>#N/A</v>
      </c>
      <c r="K73" s="2">
        <v>0.69</v>
      </c>
      <c r="L73" t="s">
        <v>861</v>
      </c>
      <c r="M73" t="e">
        <v>#N/A</v>
      </c>
      <c r="N73">
        <f>2000+RIGHT(Table1[[#This Row],[Release Date]],2)</f>
        <v>2003</v>
      </c>
      <c r="O73">
        <f>_xlfn.MAXIFS(Table1[[#This Row],[Total Shipped]]:Table1[[#This Row],[Total Sales]],Table1[[#This Row],[Total Shipped]]:Table1[[#This Row],[Total Sales]],"&lt;&gt;#N/A")</f>
        <v>0.69</v>
      </c>
      <c r="P73">
        <f>_xlfn.MAXIFS(Table1[[#This Row],[VGChartz Score]:[User Score]],Table1[[#This Row],[VGChartz Score]:[User Score]],"&lt;&gt;#N/A")</f>
        <v>8.6999999999999993</v>
      </c>
    </row>
    <row r="74" spans="1:16" hidden="1" x14ac:dyDescent="0.2">
      <c r="A74">
        <f t="shared" si="1"/>
        <v>73</v>
      </c>
      <c r="B74">
        <v>73</v>
      </c>
      <c r="C74" t="s">
        <v>138</v>
      </c>
      <c r="D74" t="s">
        <v>862</v>
      </c>
      <c r="E74" t="s">
        <v>719</v>
      </c>
      <c r="F74" t="s">
        <v>799</v>
      </c>
      <c r="G74" t="e">
        <v>#N/A</v>
      </c>
      <c r="H74" t="e">
        <v>#N/A</v>
      </c>
      <c r="I74" t="e">
        <v>#N/A</v>
      </c>
      <c r="J74" s="1" t="e">
        <v>#N/A</v>
      </c>
      <c r="K74" s="1">
        <v>0.68</v>
      </c>
      <c r="L74" t="s">
        <v>863</v>
      </c>
      <c r="M74" t="e">
        <v>#N/A</v>
      </c>
      <c r="N74">
        <f>2000+RIGHT(Table1[[#This Row],[Release Date]],2)</f>
        <v>2006</v>
      </c>
      <c r="O74">
        <f>_xlfn.MAXIFS(Table1[[#This Row],[Total Shipped]]:Table1[[#This Row],[Total Sales]],Table1[[#This Row],[Total Shipped]]:Table1[[#This Row],[Total Sales]],"&lt;&gt;#N/A")</f>
        <v>0.68</v>
      </c>
      <c r="P74">
        <f>_xlfn.MAXIFS(Table1[[#This Row],[VGChartz Score]:[User Score]],Table1[[#This Row],[VGChartz Score]:[User Score]],"&lt;&gt;#N/A")</f>
        <v>0</v>
      </c>
    </row>
    <row r="75" spans="1:16" hidden="1" x14ac:dyDescent="0.2">
      <c r="A75">
        <f t="shared" si="1"/>
        <v>74</v>
      </c>
      <c r="B75">
        <v>74</v>
      </c>
      <c r="C75" t="s">
        <v>138</v>
      </c>
      <c r="D75" t="s">
        <v>864</v>
      </c>
      <c r="E75" t="s">
        <v>719</v>
      </c>
      <c r="F75" t="s">
        <v>233</v>
      </c>
      <c r="G75" t="e">
        <v>#N/A</v>
      </c>
      <c r="H75">
        <v>6.8</v>
      </c>
      <c r="I75" t="e">
        <v>#N/A</v>
      </c>
      <c r="J75" s="2" t="e">
        <v>#N/A</v>
      </c>
      <c r="K75" s="2">
        <v>0.66</v>
      </c>
      <c r="L75" t="s">
        <v>865</v>
      </c>
      <c r="M75" t="e">
        <v>#N/A</v>
      </c>
      <c r="N75">
        <f>2000+RIGHT(Table1[[#This Row],[Release Date]],2)</f>
        <v>2005</v>
      </c>
      <c r="O75">
        <f>_xlfn.MAXIFS(Table1[[#This Row],[Total Shipped]]:Table1[[#This Row],[Total Sales]],Table1[[#This Row],[Total Shipped]]:Table1[[#This Row],[Total Sales]],"&lt;&gt;#N/A")</f>
        <v>0.66</v>
      </c>
      <c r="P75">
        <f>_xlfn.MAXIFS(Table1[[#This Row],[VGChartz Score]:[User Score]],Table1[[#This Row],[VGChartz Score]:[User Score]],"&lt;&gt;#N/A")</f>
        <v>6.8</v>
      </c>
    </row>
    <row r="76" spans="1:16" hidden="1" x14ac:dyDescent="0.2">
      <c r="A76">
        <f t="shared" si="1"/>
        <v>75</v>
      </c>
      <c r="B76">
        <v>75</v>
      </c>
      <c r="C76" t="s">
        <v>138</v>
      </c>
      <c r="D76" t="s">
        <v>866</v>
      </c>
      <c r="E76" t="s">
        <v>719</v>
      </c>
      <c r="F76" t="s">
        <v>324</v>
      </c>
      <c r="G76" t="e">
        <v>#N/A</v>
      </c>
      <c r="H76">
        <v>7.9</v>
      </c>
      <c r="I76" t="e">
        <v>#N/A</v>
      </c>
      <c r="J76" s="1" t="e">
        <v>#N/A</v>
      </c>
      <c r="K76" s="1">
        <v>0.66</v>
      </c>
      <c r="L76" t="s">
        <v>867</v>
      </c>
      <c r="M76" t="e">
        <v>#N/A</v>
      </c>
      <c r="N76">
        <f>2000+RIGHT(Table1[[#This Row],[Release Date]],2)</f>
        <v>2003</v>
      </c>
      <c r="O76">
        <f>_xlfn.MAXIFS(Table1[[#This Row],[Total Shipped]]:Table1[[#This Row],[Total Sales]],Table1[[#This Row],[Total Shipped]]:Table1[[#This Row],[Total Sales]],"&lt;&gt;#N/A")</f>
        <v>0.66</v>
      </c>
      <c r="P76">
        <f>_xlfn.MAXIFS(Table1[[#This Row],[VGChartz Score]:[User Score]],Table1[[#This Row],[VGChartz Score]:[User Score]],"&lt;&gt;#N/A")</f>
        <v>7.9</v>
      </c>
    </row>
    <row r="77" spans="1:16" hidden="1" x14ac:dyDescent="0.2">
      <c r="A77">
        <f t="shared" si="1"/>
        <v>76</v>
      </c>
      <c r="B77">
        <v>76</v>
      </c>
      <c r="C77" t="s">
        <v>138</v>
      </c>
      <c r="D77" t="s">
        <v>868</v>
      </c>
      <c r="E77" t="s">
        <v>719</v>
      </c>
      <c r="F77" t="s">
        <v>1</v>
      </c>
      <c r="G77" t="e">
        <v>#N/A</v>
      </c>
      <c r="H77">
        <v>8.4</v>
      </c>
      <c r="I77" t="e">
        <v>#N/A</v>
      </c>
      <c r="J77" s="2" t="e">
        <v>#N/A</v>
      </c>
      <c r="K77" s="2">
        <v>0.65</v>
      </c>
      <c r="L77" t="s">
        <v>869</v>
      </c>
      <c r="M77" t="e">
        <v>#N/A</v>
      </c>
      <c r="N77">
        <f>2000+RIGHT(Table1[[#This Row],[Release Date]],2)</f>
        <v>2003</v>
      </c>
      <c r="O77">
        <f>_xlfn.MAXIFS(Table1[[#This Row],[Total Shipped]]:Table1[[#This Row],[Total Sales]],Table1[[#This Row],[Total Shipped]]:Table1[[#This Row],[Total Sales]],"&lt;&gt;#N/A")</f>
        <v>0.65</v>
      </c>
      <c r="P77">
        <f>_xlfn.MAXIFS(Table1[[#This Row],[VGChartz Score]:[User Score]],Table1[[#This Row],[VGChartz Score]:[User Score]],"&lt;&gt;#N/A")</f>
        <v>8.4</v>
      </c>
    </row>
    <row r="78" spans="1:16" hidden="1" x14ac:dyDescent="0.2">
      <c r="A78">
        <f t="shared" si="1"/>
        <v>77</v>
      </c>
      <c r="B78">
        <v>77</v>
      </c>
      <c r="C78" t="s">
        <v>138</v>
      </c>
      <c r="D78" t="s">
        <v>870</v>
      </c>
      <c r="E78" t="s">
        <v>719</v>
      </c>
      <c r="F78" t="s">
        <v>759</v>
      </c>
      <c r="G78" t="e">
        <v>#N/A</v>
      </c>
      <c r="H78">
        <v>5.3</v>
      </c>
      <c r="I78" t="e">
        <v>#N/A</v>
      </c>
      <c r="J78" s="1" t="e">
        <v>#N/A</v>
      </c>
      <c r="K78" s="1">
        <v>0.63</v>
      </c>
      <c r="L78" t="s">
        <v>871</v>
      </c>
      <c r="M78" t="e">
        <v>#N/A</v>
      </c>
      <c r="N78">
        <f>2000+RIGHT(Table1[[#This Row],[Release Date]],2)</f>
        <v>2002</v>
      </c>
      <c r="O78">
        <f>_xlfn.MAXIFS(Table1[[#This Row],[Total Shipped]]:Table1[[#This Row],[Total Sales]],Table1[[#This Row],[Total Shipped]]:Table1[[#This Row],[Total Sales]],"&lt;&gt;#N/A")</f>
        <v>0.63</v>
      </c>
      <c r="P78">
        <f>_xlfn.MAXIFS(Table1[[#This Row],[VGChartz Score]:[User Score]],Table1[[#This Row],[VGChartz Score]:[User Score]],"&lt;&gt;#N/A")</f>
        <v>5.3</v>
      </c>
    </row>
    <row r="79" spans="1:16" hidden="1" x14ac:dyDescent="0.2">
      <c r="A79">
        <f t="shared" si="1"/>
        <v>78</v>
      </c>
      <c r="B79">
        <v>78</v>
      </c>
      <c r="C79" t="s">
        <v>138</v>
      </c>
      <c r="D79" t="s">
        <v>872</v>
      </c>
      <c r="E79" t="s">
        <v>719</v>
      </c>
      <c r="F79" t="s">
        <v>244</v>
      </c>
      <c r="G79" t="e">
        <v>#N/A</v>
      </c>
      <c r="H79">
        <v>8.5</v>
      </c>
      <c r="I79" t="e">
        <v>#N/A</v>
      </c>
      <c r="J79" s="2" t="e">
        <v>#N/A</v>
      </c>
      <c r="K79" s="2">
        <v>0.62</v>
      </c>
      <c r="L79" t="s">
        <v>873</v>
      </c>
      <c r="M79" t="e">
        <v>#N/A</v>
      </c>
      <c r="N79">
        <f>2000+RIGHT(Table1[[#This Row],[Release Date]],2)</f>
        <v>2006</v>
      </c>
      <c r="O79">
        <f>_xlfn.MAXIFS(Table1[[#This Row],[Total Shipped]]:Table1[[#This Row],[Total Sales]],Table1[[#This Row],[Total Shipped]]:Table1[[#This Row],[Total Sales]],"&lt;&gt;#N/A")</f>
        <v>0.62</v>
      </c>
      <c r="P79">
        <f>_xlfn.MAXIFS(Table1[[#This Row],[VGChartz Score]:[User Score]],Table1[[#This Row],[VGChartz Score]:[User Score]],"&lt;&gt;#N/A")</f>
        <v>8.5</v>
      </c>
    </row>
    <row r="80" spans="1:16" hidden="1" x14ac:dyDescent="0.2">
      <c r="A80">
        <f t="shared" si="1"/>
        <v>79</v>
      </c>
      <c r="B80">
        <v>79</v>
      </c>
      <c r="C80" t="s">
        <v>138</v>
      </c>
      <c r="D80" t="s">
        <v>874</v>
      </c>
      <c r="E80" t="s">
        <v>719</v>
      </c>
      <c r="F80" t="s">
        <v>69</v>
      </c>
      <c r="G80" t="e">
        <v>#N/A</v>
      </c>
      <c r="H80">
        <v>9.4</v>
      </c>
      <c r="I80" t="e">
        <v>#N/A</v>
      </c>
      <c r="J80" s="1" t="e">
        <v>#N/A</v>
      </c>
      <c r="K80" s="1">
        <v>0.62</v>
      </c>
      <c r="L80" t="s">
        <v>875</v>
      </c>
      <c r="M80" t="e">
        <v>#N/A</v>
      </c>
      <c r="N80">
        <f>2000+RIGHT(Table1[[#This Row],[Release Date]],2)</f>
        <v>2003</v>
      </c>
      <c r="O80">
        <f>_xlfn.MAXIFS(Table1[[#This Row],[Total Shipped]]:Table1[[#This Row],[Total Sales]],Table1[[#This Row],[Total Shipped]]:Table1[[#This Row],[Total Sales]],"&lt;&gt;#N/A")</f>
        <v>0.62</v>
      </c>
      <c r="P80">
        <f>_xlfn.MAXIFS(Table1[[#This Row],[VGChartz Score]:[User Score]],Table1[[#This Row],[VGChartz Score]:[User Score]],"&lt;&gt;#N/A")</f>
        <v>9.4</v>
      </c>
    </row>
    <row r="81" spans="1:16" hidden="1" x14ac:dyDescent="0.2">
      <c r="A81">
        <f t="shared" si="1"/>
        <v>80</v>
      </c>
      <c r="B81">
        <v>80</v>
      </c>
      <c r="C81" t="s">
        <v>138</v>
      </c>
      <c r="D81" t="s">
        <v>876</v>
      </c>
      <c r="E81" t="s">
        <v>719</v>
      </c>
      <c r="F81" t="s">
        <v>759</v>
      </c>
      <c r="G81" t="e">
        <v>#N/A</v>
      </c>
      <c r="H81" t="e">
        <v>#N/A</v>
      </c>
      <c r="I81" t="e">
        <v>#N/A</v>
      </c>
      <c r="J81" s="2" t="e">
        <v>#N/A</v>
      </c>
      <c r="K81" s="2">
        <v>0.62</v>
      </c>
      <c r="L81" t="s">
        <v>877</v>
      </c>
      <c r="M81" t="e">
        <v>#N/A</v>
      </c>
      <c r="N81">
        <f>2000+RIGHT(Table1[[#This Row],[Release Date]],2)</f>
        <v>2003</v>
      </c>
      <c r="O81">
        <f>_xlfn.MAXIFS(Table1[[#This Row],[Total Shipped]]:Table1[[#This Row],[Total Sales]],Table1[[#This Row],[Total Shipped]]:Table1[[#This Row],[Total Sales]],"&lt;&gt;#N/A")</f>
        <v>0.62</v>
      </c>
      <c r="P81">
        <f>_xlfn.MAXIFS(Table1[[#This Row],[VGChartz Score]:[User Score]],Table1[[#This Row],[VGChartz Score]:[User Score]],"&lt;&gt;#N/A")</f>
        <v>0</v>
      </c>
    </row>
    <row r="82" spans="1:16" hidden="1" x14ac:dyDescent="0.2">
      <c r="A82">
        <f t="shared" si="1"/>
        <v>81</v>
      </c>
      <c r="B82">
        <v>81</v>
      </c>
      <c r="C82" t="s">
        <v>138</v>
      </c>
      <c r="D82" t="s">
        <v>878</v>
      </c>
      <c r="E82" t="s">
        <v>719</v>
      </c>
      <c r="F82" t="s">
        <v>244</v>
      </c>
      <c r="G82" t="e">
        <v>#N/A</v>
      </c>
      <c r="H82">
        <v>8.6</v>
      </c>
      <c r="I82" t="e">
        <v>#N/A</v>
      </c>
      <c r="J82" s="1" t="e">
        <v>#N/A</v>
      </c>
      <c r="K82" s="1">
        <v>0.61</v>
      </c>
      <c r="L82" t="s">
        <v>728</v>
      </c>
      <c r="M82" t="e">
        <v>#N/A</v>
      </c>
      <c r="N82">
        <f>2000+RIGHT(Table1[[#This Row],[Release Date]],2)</f>
        <v>2001</v>
      </c>
      <c r="O82">
        <f>_xlfn.MAXIFS(Table1[[#This Row],[Total Shipped]]:Table1[[#This Row],[Total Sales]],Table1[[#This Row],[Total Shipped]]:Table1[[#This Row],[Total Sales]],"&lt;&gt;#N/A")</f>
        <v>0.61</v>
      </c>
      <c r="P82">
        <f>_xlfn.MAXIFS(Table1[[#This Row],[VGChartz Score]:[User Score]],Table1[[#This Row],[VGChartz Score]:[User Score]],"&lt;&gt;#N/A")</f>
        <v>8.6</v>
      </c>
    </row>
    <row r="83" spans="1:16" hidden="1" x14ac:dyDescent="0.2">
      <c r="A83">
        <f t="shared" si="1"/>
        <v>82</v>
      </c>
      <c r="B83">
        <v>82</v>
      </c>
      <c r="C83" t="s">
        <v>138</v>
      </c>
      <c r="D83" t="s">
        <v>879</v>
      </c>
      <c r="E83" t="s">
        <v>719</v>
      </c>
      <c r="F83" t="s">
        <v>1</v>
      </c>
      <c r="G83" t="e">
        <v>#N/A</v>
      </c>
      <c r="H83">
        <v>8.4</v>
      </c>
      <c r="I83" t="e">
        <v>#N/A</v>
      </c>
      <c r="J83" s="2" t="e">
        <v>#N/A</v>
      </c>
      <c r="K83" s="2">
        <v>0.6</v>
      </c>
      <c r="L83" t="s">
        <v>728</v>
      </c>
      <c r="M83" t="e">
        <v>#N/A</v>
      </c>
      <c r="N83">
        <f>2000+RIGHT(Table1[[#This Row],[Release Date]],2)</f>
        <v>2001</v>
      </c>
      <c r="O83">
        <f>_xlfn.MAXIFS(Table1[[#This Row],[Total Shipped]]:Table1[[#This Row],[Total Sales]],Table1[[#This Row],[Total Shipped]]:Table1[[#This Row],[Total Sales]],"&lt;&gt;#N/A")</f>
        <v>0.6</v>
      </c>
      <c r="P83">
        <f>_xlfn.MAXIFS(Table1[[#This Row],[VGChartz Score]:[User Score]],Table1[[#This Row],[VGChartz Score]:[User Score]],"&lt;&gt;#N/A")</f>
        <v>8.4</v>
      </c>
    </row>
    <row r="84" spans="1:16" hidden="1" x14ac:dyDescent="0.2">
      <c r="A84">
        <f t="shared" si="1"/>
        <v>83</v>
      </c>
      <c r="B84">
        <v>83</v>
      </c>
      <c r="C84" t="s">
        <v>138</v>
      </c>
      <c r="D84" t="s">
        <v>880</v>
      </c>
      <c r="E84" t="s">
        <v>719</v>
      </c>
      <c r="F84" t="s">
        <v>324</v>
      </c>
      <c r="G84" t="e">
        <v>#N/A</v>
      </c>
      <c r="H84">
        <v>8</v>
      </c>
      <c r="I84" t="e">
        <v>#N/A</v>
      </c>
      <c r="J84" s="1" t="e">
        <v>#N/A</v>
      </c>
      <c r="K84" s="1">
        <v>0.59</v>
      </c>
      <c r="L84" t="s">
        <v>747</v>
      </c>
      <c r="M84" t="e">
        <v>#N/A</v>
      </c>
      <c r="N84">
        <f>2000+RIGHT(Table1[[#This Row],[Release Date]],2)</f>
        <v>2002</v>
      </c>
      <c r="O84">
        <f>_xlfn.MAXIFS(Table1[[#This Row],[Total Shipped]]:Table1[[#This Row],[Total Sales]],Table1[[#This Row],[Total Shipped]]:Table1[[#This Row],[Total Sales]],"&lt;&gt;#N/A")</f>
        <v>0.59</v>
      </c>
      <c r="P84">
        <f>_xlfn.MAXIFS(Table1[[#This Row],[VGChartz Score]:[User Score]],Table1[[#This Row],[VGChartz Score]:[User Score]],"&lt;&gt;#N/A")</f>
        <v>8</v>
      </c>
    </row>
    <row r="85" spans="1:16" hidden="1" x14ac:dyDescent="0.2">
      <c r="A85">
        <f t="shared" si="1"/>
        <v>84</v>
      </c>
      <c r="B85">
        <v>84</v>
      </c>
      <c r="C85" t="s">
        <v>138</v>
      </c>
      <c r="D85" t="s">
        <v>881</v>
      </c>
      <c r="E85" t="s">
        <v>719</v>
      </c>
      <c r="F85" t="s">
        <v>882</v>
      </c>
      <c r="G85" t="e">
        <v>#N/A</v>
      </c>
      <c r="H85">
        <v>6</v>
      </c>
      <c r="I85" t="e">
        <v>#N/A</v>
      </c>
      <c r="J85" s="2" t="e">
        <v>#N/A</v>
      </c>
      <c r="K85" s="2">
        <v>0.59</v>
      </c>
      <c r="L85" t="s">
        <v>883</v>
      </c>
      <c r="M85" t="e">
        <v>#N/A</v>
      </c>
      <c r="N85">
        <f>2000+RIGHT(Table1[[#This Row],[Release Date]],2)</f>
        <v>2002</v>
      </c>
      <c r="O85">
        <f>_xlfn.MAXIFS(Table1[[#This Row],[Total Shipped]]:Table1[[#This Row],[Total Sales]],Table1[[#This Row],[Total Shipped]]:Table1[[#This Row],[Total Sales]],"&lt;&gt;#N/A")</f>
        <v>0.59</v>
      </c>
      <c r="P85">
        <f>_xlfn.MAXIFS(Table1[[#This Row],[VGChartz Score]:[User Score]],Table1[[#This Row],[VGChartz Score]:[User Score]],"&lt;&gt;#N/A")</f>
        <v>6</v>
      </c>
    </row>
    <row r="86" spans="1:16" hidden="1" x14ac:dyDescent="0.2">
      <c r="A86">
        <f t="shared" ref="A86:A149" si="2">ROW()-1</f>
        <v>85</v>
      </c>
      <c r="B86">
        <v>85</v>
      </c>
      <c r="C86" t="s">
        <v>138</v>
      </c>
      <c r="D86" t="s">
        <v>884</v>
      </c>
      <c r="E86" t="s">
        <v>719</v>
      </c>
      <c r="F86" t="s">
        <v>233</v>
      </c>
      <c r="G86" t="e">
        <v>#N/A</v>
      </c>
      <c r="H86">
        <v>9.1999999999999993</v>
      </c>
      <c r="I86" t="e">
        <v>#N/A</v>
      </c>
      <c r="J86" s="1" t="e">
        <v>#N/A</v>
      </c>
      <c r="K86" s="1">
        <v>0.57999999999999996</v>
      </c>
      <c r="L86" t="s">
        <v>885</v>
      </c>
      <c r="M86" t="e">
        <v>#N/A</v>
      </c>
      <c r="N86">
        <f>2000+RIGHT(Table1[[#This Row],[Release Date]],2)</f>
        <v>2002</v>
      </c>
      <c r="O86">
        <f>_xlfn.MAXIFS(Table1[[#This Row],[Total Shipped]]:Table1[[#This Row],[Total Sales]],Table1[[#This Row],[Total Shipped]]:Table1[[#This Row],[Total Sales]],"&lt;&gt;#N/A")</f>
        <v>0.57999999999999996</v>
      </c>
      <c r="P86">
        <f>_xlfn.MAXIFS(Table1[[#This Row],[VGChartz Score]:[User Score]],Table1[[#This Row],[VGChartz Score]:[User Score]],"&lt;&gt;#N/A")</f>
        <v>9.1999999999999993</v>
      </c>
    </row>
    <row r="87" spans="1:16" hidden="1" x14ac:dyDescent="0.2">
      <c r="A87">
        <f t="shared" si="2"/>
        <v>86</v>
      </c>
      <c r="B87">
        <v>86</v>
      </c>
      <c r="C87" t="s">
        <v>138</v>
      </c>
      <c r="D87" t="s">
        <v>886</v>
      </c>
      <c r="E87" t="s">
        <v>719</v>
      </c>
      <c r="F87" t="s">
        <v>244</v>
      </c>
      <c r="G87" t="e">
        <v>#N/A</v>
      </c>
      <c r="H87">
        <v>8.6999999999999993</v>
      </c>
      <c r="I87" t="e">
        <v>#N/A</v>
      </c>
      <c r="J87" s="2" t="e">
        <v>#N/A</v>
      </c>
      <c r="K87" s="2">
        <v>0.56999999999999995</v>
      </c>
      <c r="L87" t="s">
        <v>887</v>
      </c>
      <c r="M87" t="e">
        <v>#N/A</v>
      </c>
      <c r="N87">
        <f>2000+RIGHT(Table1[[#This Row],[Release Date]],2)</f>
        <v>2005</v>
      </c>
      <c r="O87">
        <f>_xlfn.MAXIFS(Table1[[#This Row],[Total Shipped]]:Table1[[#This Row],[Total Sales]],Table1[[#This Row],[Total Shipped]]:Table1[[#This Row],[Total Sales]],"&lt;&gt;#N/A")</f>
        <v>0.56999999999999995</v>
      </c>
      <c r="P87">
        <f>_xlfn.MAXIFS(Table1[[#This Row],[VGChartz Score]:[User Score]],Table1[[#This Row],[VGChartz Score]:[User Score]],"&lt;&gt;#N/A")</f>
        <v>8.6999999999999993</v>
      </c>
    </row>
    <row r="88" spans="1:16" hidden="1" x14ac:dyDescent="0.2">
      <c r="A88">
        <f t="shared" si="2"/>
        <v>87</v>
      </c>
      <c r="B88">
        <v>87</v>
      </c>
      <c r="C88" t="s">
        <v>138</v>
      </c>
      <c r="D88" t="s">
        <v>888</v>
      </c>
      <c r="E88" t="s">
        <v>719</v>
      </c>
      <c r="F88" t="s">
        <v>233</v>
      </c>
      <c r="G88" t="e">
        <v>#N/A</v>
      </c>
      <c r="H88">
        <v>8.1</v>
      </c>
      <c r="I88" t="e">
        <v>#N/A</v>
      </c>
      <c r="J88" s="1" t="e">
        <v>#N/A</v>
      </c>
      <c r="K88" s="1">
        <v>0.56000000000000005</v>
      </c>
      <c r="L88" t="s">
        <v>889</v>
      </c>
      <c r="M88" t="e">
        <v>#N/A</v>
      </c>
      <c r="N88">
        <f>2000+RIGHT(Table1[[#This Row],[Release Date]],2)</f>
        <v>2003</v>
      </c>
      <c r="O88">
        <f>_xlfn.MAXIFS(Table1[[#This Row],[Total Shipped]]:Table1[[#This Row],[Total Sales]],Table1[[#This Row],[Total Shipped]]:Table1[[#This Row],[Total Sales]],"&lt;&gt;#N/A")</f>
        <v>0.56000000000000005</v>
      </c>
      <c r="P88">
        <f>_xlfn.MAXIFS(Table1[[#This Row],[VGChartz Score]:[User Score]],Table1[[#This Row],[VGChartz Score]:[User Score]],"&lt;&gt;#N/A")</f>
        <v>8.1</v>
      </c>
    </row>
    <row r="89" spans="1:16" hidden="1" x14ac:dyDescent="0.2">
      <c r="A89">
        <f t="shared" si="2"/>
        <v>88</v>
      </c>
      <c r="B89">
        <v>88</v>
      </c>
      <c r="C89" t="s">
        <v>138</v>
      </c>
      <c r="D89" t="s">
        <v>890</v>
      </c>
      <c r="E89" t="s">
        <v>719</v>
      </c>
      <c r="F89" t="s">
        <v>324</v>
      </c>
      <c r="G89" t="e">
        <v>#N/A</v>
      </c>
      <c r="H89">
        <v>8.4</v>
      </c>
      <c r="I89" t="e">
        <v>#N/A</v>
      </c>
      <c r="J89" s="2" t="e">
        <v>#N/A</v>
      </c>
      <c r="K89" s="2">
        <v>0.56000000000000005</v>
      </c>
      <c r="L89" t="s">
        <v>809</v>
      </c>
      <c r="M89" t="e">
        <v>#N/A</v>
      </c>
      <c r="N89">
        <f>2000+RIGHT(Table1[[#This Row],[Release Date]],2)</f>
        <v>2005</v>
      </c>
      <c r="O89">
        <f>_xlfn.MAXIFS(Table1[[#This Row],[Total Shipped]]:Table1[[#This Row],[Total Sales]],Table1[[#This Row],[Total Shipped]]:Table1[[#This Row],[Total Sales]],"&lt;&gt;#N/A")</f>
        <v>0.56000000000000005</v>
      </c>
      <c r="P89">
        <f>_xlfn.MAXIFS(Table1[[#This Row],[VGChartz Score]:[User Score]],Table1[[#This Row],[VGChartz Score]:[User Score]],"&lt;&gt;#N/A")</f>
        <v>8.4</v>
      </c>
    </row>
    <row r="90" spans="1:16" hidden="1" x14ac:dyDescent="0.2">
      <c r="A90">
        <f t="shared" si="2"/>
        <v>89</v>
      </c>
      <c r="B90">
        <v>89</v>
      </c>
      <c r="C90" t="s">
        <v>138</v>
      </c>
      <c r="D90" t="s">
        <v>891</v>
      </c>
      <c r="E90" t="s">
        <v>719</v>
      </c>
      <c r="F90" t="s">
        <v>1</v>
      </c>
      <c r="G90" t="e">
        <v>#N/A</v>
      </c>
      <c r="H90">
        <v>8.6</v>
      </c>
      <c r="I90" t="e">
        <v>#N/A</v>
      </c>
      <c r="J90" s="1" t="e">
        <v>#N/A</v>
      </c>
      <c r="K90" s="1">
        <v>0.54</v>
      </c>
      <c r="L90" t="s">
        <v>892</v>
      </c>
      <c r="M90" t="e">
        <v>#N/A</v>
      </c>
      <c r="N90">
        <f>2000+RIGHT(Table1[[#This Row],[Release Date]],2)</f>
        <v>2005</v>
      </c>
      <c r="O90">
        <f>_xlfn.MAXIFS(Table1[[#This Row],[Total Shipped]]:Table1[[#This Row],[Total Sales]],Table1[[#This Row],[Total Shipped]]:Table1[[#This Row],[Total Sales]],"&lt;&gt;#N/A")</f>
        <v>0.54</v>
      </c>
      <c r="P90">
        <f>_xlfn.MAXIFS(Table1[[#This Row],[VGChartz Score]:[User Score]],Table1[[#This Row],[VGChartz Score]:[User Score]],"&lt;&gt;#N/A")</f>
        <v>8.6</v>
      </c>
    </row>
    <row r="91" spans="1:16" hidden="1" x14ac:dyDescent="0.2">
      <c r="A91">
        <f t="shared" si="2"/>
        <v>90</v>
      </c>
      <c r="B91">
        <v>90</v>
      </c>
      <c r="C91" t="s">
        <v>138</v>
      </c>
      <c r="D91" t="s">
        <v>893</v>
      </c>
      <c r="E91" t="s">
        <v>719</v>
      </c>
      <c r="F91" t="s">
        <v>894</v>
      </c>
      <c r="G91" t="e">
        <v>#N/A</v>
      </c>
      <c r="H91">
        <v>8.4</v>
      </c>
      <c r="I91" t="e">
        <v>#N/A</v>
      </c>
      <c r="J91" s="2" t="e">
        <v>#N/A</v>
      </c>
      <c r="K91" s="2">
        <v>0.54</v>
      </c>
      <c r="L91" t="s">
        <v>720</v>
      </c>
      <c r="M91" t="e">
        <v>#N/A</v>
      </c>
      <c r="N91">
        <f>2000+RIGHT(Table1[[#This Row],[Release Date]],2)</f>
        <v>2001</v>
      </c>
      <c r="O91">
        <f>_xlfn.MAXIFS(Table1[[#This Row],[Total Shipped]]:Table1[[#This Row],[Total Sales]],Table1[[#This Row],[Total Shipped]]:Table1[[#This Row],[Total Sales]],"&lt;&gt;#N/A")</f>
        <v>0.54</v>
      </c>
      <c r="P91">
        <f>_xlfn.MAXIFS(Table1[[#This Row],[VGChartz Score]:[User Score]],Table1[[#This Row],[VGChartz Score]:[User Score]],"&lt;&gt;#N/A")</f>
        <v>8.4</v>
      </c>
    </row>
    <row r="92" spans="1:16" hidden="1" x14ac:dyDescent="0.2">
      <c r="A92">
        <f t="shared" si="2"/>
        <v>91</v>
      </c>
      <c r="B92">
        <v>91</v>
      </c>
      <c r="C92" t="s">
        <v>138</v>
      </c>
      <c r="D92" t="s">
        <v>895</v>
      </c>
      <c r="E92" t="s">
        <v>719</v>
      </c>
      <c r="F92" t="s">
        <v>894</v>
      </c>
      <c r="G92" t="e">
        <v>#N/A</v>
      </c>
      <c r="H92">
        <v>8.8000000000000007</v>
      </c>
      <c r="I92" t="e">
        <v>#N/A</v>
      </c>
      <c r="J92" s="1" t="e">
        <v>#N/A</v>
      </c>
      <c r="K92" s="1">
        <v>0.54</v>
      </c>
      <c r="L92" t="s">
        <v>896</v>
      </c>
      <c r="M92" t="e">
        <v>#N/A</v>
      </c>
      <c r="N92">
        <f>2000+RIGHT(Table1[[#This Row],[Release Date]],2)</f>
        <v>2003</v>
      </c>
      <c r="O92">
        <f>_xlfn.MAXIFS(Table1[[#This Row],[Total Shipped]]:Table1[[#This Row],[Total Sales]],Table1[[#This Row],[Total Shipped]]:Table1[[#This Row],[Total Sales]],"&lt;&gt;#N/A")</f>
        <v>0.54</v>
      </c>
      <c r="P92">
        <f>_xlfn.MAXIFS(Table1[[#This Row],[VGChartz Score]:[User Score]],Table1[[#This Row],[VGChartz Score]:[User Score]],"&lt;&gt;#N/A")</f>
        <v>8.8000000000000007</v>
      </c>
    </row>
    <row r="93" spans="1:16" hidden="1" x14ac:dyDescent="0.2">
      <c r="A93">
        <f t="shared" si="2"/>
        <v>92</v>
      </c>
      <c r="B93">
        <v>92</v>
      </c>
      <c r="C93" t="s">
        <v>138</v>
      </c>
      <c r="D93" t="s">
        <v>897</v>
      </c>
      <c r="E93" t="s">
        <v>719</v>
      </c>
      <c r="F93" t="s">
        <v>233</v>
      </c>
      <c r="G93" t="e">
        <v>#N/A</v>
      </c>
      <c r="H93">
        <v>8.6</v>
      </c>
      <c r="I93" t="e">
        <v>#N/A</v>
      </c>
      <c r="J93" s="2" t="e">
        <v>#N/A</v>
      </c>
      <c r="K93" s="2">
        <v>0.53</v>
      </c>
      <c r="L93" t="s">
        <v>898</v>
      </c>
      <c r="M93" t="e">
        <v>#N/A</v>
      </c>
      <c r="N93">
        <f>2000+RIGHT(Table1[[#This Row],[Release Date]],2)</f>
        <v>2004</v>
      </c>
      <c r="O93">
        <f>_xlfn.MAXIFS(Table1[[#This Row],[Total Shipped]]:Table1[[#This Row],[Total Sales]],Table1[[#This Row],[Total Shipped]]:Table1[[#This Row],[Total Sales]],"&lt;&gt;#N/A")</f>
        <v>0.53</v>
      </c>
      <c r="P93">
        <f>_xlfn.MAXIFS(Table1[[#This Row],[VGChartz Score]:[User Score]],Table1[[#This Row],[VGChartz Score]:[User Score]],"&lt;&gt;#N/A")</f>
        <v>8.6</v>
      </c>
    </row>
    <row r="94" spans="1:16" hidden="1" x14ac:dyDescent="0.2">
      <c r="A94">
        <f t="shared" si="2"/>
        <v>93</v>
      </c>
      <c r="B94">
        <v>93</v>
      </c>
      <c r="C94" t="s">
        <v>138</v>
      </c>
      <c r="D94" t="s">
        <v>899</v>
      </c>
      <c r="E94" t="s">
        <v>719</v>
      </c>
      <c r="F94" t="s">
        <v>324</v>
      </c>
      <c r="G94" t="e">
        <v>#N/A</v>
      </c>
      <c r="H94" t="e">
        <v>#N/A</v>
      </c>
      <c r="I94" t="e">
        <v>#N/A</v>
      </c>
      <c r="J94" s="1" t="e">
        <v>#N/A</v>
      </c>
      <c r="K94" s="1">
        <v>0.53</v>
      </c>
      <c r="L94" t="s">
        <v>900</v>
      </c>
      <c r="M94" t="e">
        <v>#N/A</v>
      </c>
      <c r="N94">
        <f>2000+RIGHT(Table1[[#This Row],[Release Date]],2)</f>
        <v>2002</v>
      </c>
      <c r="O94">
        <f>_xlfn.MAXIFS(Table1[[#This Row],[Total Shipped]]:Table1[[#This Row],[Total Sales]],Table1[[#This Row],[Total Shipped]]:Table1[[#This Row],[Total Sales]],"&lt;&gt;#N/A")</f>
        <v>0.53</v>
      </c>
      <c r="P94">
        <f>_xlfn.MAXIFS(Table1[[#This Row],[VGChartz Score]:[User Score]],Table1[[#This Row],[VGChartz Score]:[User Score]],"&lt;&gt;#N/A")</f>
        <v>0</v>
      </c>
    </row>
    <row r="95" spans="1:16" hidden="1" x14ac:dyDescent="0.2">
      <c r="A95">
        <f t="shared" si="2"/>
        <v>94</v>
      </c>
      <c r="B95">
        <v>94</v>
      </c>
      <c r="C95" t="s">
        <v>138</v>
      </c>
      <c r="D95" t="s">
        <v>901</v>
      </c>
      <c r="E95" t="s">
        <v>719</v>
      </c>
      <c r="F95" t="s">
        <v>244</v>
      </c>
      <c r="G95" t="e">
        <v>#N/A</v>
      </c>
      <c r="H95">
        <v>9.1999999999999993</v>
      </c>
      <c r="I95" t="e">
        <v>#N/A</v>
      </c>
      <c r="J95" s="2" t="e">
        <v>#N/A</v>
      </c>
      <c r="K95" s="2">
        <v>0.51</v>
      </c>
      <c r="L95" t="s">
        <v>902</v>
      </c>
      <c r="M95" t="e">
        <v>#N/A</v>
      </c>
      <c r="N95">
        <f>2000+RIGHT(Table1[[#This Row],[Release Date]],2)</f>
        <v>2003</v>
      </c>
      <c r="O95">
        <f>_xlfn.MAXIFS(Table1[[#This Row],[Total Shipped]]:Table1[[#This Row],[Total Sales]],Table1[[#This Row],[Total Shipped]]:Table1[[#This Row],[Total Sales]],"&lt;&gt;#N/A")</f>
        <v>0.51</v>
      </c>
      <c r="P95">
        <f>_xlfn.MAXIFS(Table1[[#This Row],[VGChartz Score]:[User Score]],Table1[[#This Row],[VGChartz Score]:[User Score]],"&lt;&gt;#N/A")</f>
        <v>9.1999999999999993</v>
      </c>
    </row>
    <row r="96" spans="1:16" hidden="1" x14ac:dyDescent="0.2">
      <c r="A96">
        <f t="shared" si="2"/>
        <v>95</v>
      </c>
      <c r="B96">
        <v>95</v>
      </c>
      <c r="C96" t="s">
        <v>138</v>
      </c>
      <c r="D96" t="s">
        <v>903</v>
      </c>
      <c r="E96" t="s">
        <v>719</v>
      </c>
      <c r="F96" t="s">
        <v>661</v>
      </c>
      <c r="G96" t="e">
        <v>#N/A</v>
      </c>
      <c r="H96">
        <v>5.5</v>
      </c>
      <c r="I96" t="e">
        <v>#N/A</v>
      </c>
      <c r="J96" s="1" t="e">
        <v>#N/A</v>
      </c>
      <c r="K96" s="1">
        <v>0.5</v>
      </c>
      <c r="L96" t="s">
        <v>904</v>
      </c>
      <c r="M96" t="e">
        <v>#N/A</v>
      </c>
      <c r="N96">
        <f>2000+RIGHT(Table1[[#This Row],[Release Date]],2)</f>
        <v>2006</v>
      </c>
      <c r="O96">
        <f>_xlfn.MAXIFS(Table1[[#This Row],[Total Shipped]]:Table1[[#This Row],[Total Sales]],Table1[[#This Row],[Total Shipped]]:Table1[[#This Row],[Total Sales]],"&lt;&gt;#N/A")</f>
        <v>0.5</v>
      </c>
      <c r="P96">
        <f>_xlfn.MAXIFS(Table1[[#This Row],[VGChartz Score]:[User Score]],Table1[[#This Row],[VGChartz Score]:[User Score]],"&lt;&gt;#N/A")</f>
        <v>5.5</v>
      </c>
    </row>
    <row r="97" spans="1:16" hidden="1" x14ac:dyDescent="0.2">
      <c r="A97">
        <f t="shared" si="2"/>
        <v>96</v>
      </c>
      <c r="B97">
        <v>96</v>
      </c>
      <c r="C97" t="s">
        <v>138</v>
      </c>
      <c r="D97" t="s">
        <v>905</v>
      </c>
      <c r="E97" t="s">
        <v>719</v>
      </c>
      <c r="F97" t="s">
        <v>233</v>
      </c>
      <c r="G97" t="e">
        <v>#N/A</v>
      </c>
      <c r="H97">
        <v>8.6</v>
      </c>
      <c r="I97" t="e">
        <v>#N/A</v>
      </c>
      <c r="J97" s="2" t="e">
        <v>#N/A</v>
      </c>
      <c r="K97" s="2">
        <v>0.5</v>
      </c>
      <c r="L97" t="s">
        <v>906</v>
      </c>
      <c r="M97" t="e">
        <v>#N/A</v>
      </c>
      <c r="N97">
        <f>2000+RIGHT(Table1[[#This Row],[Release Date]],2)</f>
        <v>2004</v>
      </c>
      <c r="O97">
        <f>_xlfn.MAXIFS(Table1[[#This Row],[Total Shipped]]:Table1[[#This Row],[Total Sales]],Table1[[#This Row],[Total Shipped]]:Table1[[#This Row],[Total Sales]],"&lt;&gt;#N/A")</f>
        <v>0.5</v>
      </c>
      <c r="P97">
        <f>_xlfn.MAXIFS(Table1[[#This Row],[VGChartz Score]:[User Score]],Table1[[#This Row],[VGChartz Score]:[User Score]],"&lt;&gt;#N/A")</f>
        <v>8.6</v>
      </c>
    </row>
    <row r="98" spans="1:16" hidden="1" x14ac:dyDescent="0.2">
      <c r="A98">
        <f t="shared" si="2"/>
        <v>97</v>
      </c>
      <c r="B98">
        <v>97</v>
      </c>
      <c r="C98" t="s">
        <v>138</v>
      </c>
      <c r="D98" t="s">
        <v>907</v>
      </c>
      <c r="E98" t="s">
        <v>719</v>
      </c>
      <c r="F98" t="s">
        <v>661</v>
      </c>
      <c r="G98" t="e">
        <v>#N/A</v>
      </c>
      <c r="H98" t="e">
        <v>#N/A</v>
      </c>
      <c r="I98" t="e">
        <v>#N/A</v>
      </c>
      <c r="J98" s="1" t="e">
        <v>#N/A</v>
      </c>
      <c r="K98" s="1">
        <v>0.49</v>
      </c>
      <c r="L98" t="s">
        <v>908</v>
      </c>
      <c r="M98" t="e">
        <v>#N/A</v>
      </c>
      <c r="N98">
        <f>2000+RIGHT(Table1[[#This Row],[Release Date]],2)</f>
        <v>2002</v>
      </c>
      <c r="O98">
        <f>_xlfn.MAXIFS(Table1[[#This Row],[Total Shipped]]:Table1[[#This Row],[Total Sales]],Table1[[#This Row],[Total Shipped]]:Table1[[#This Row],[Total Sales]],"&lt;&gt;#N/A")</f>
        <v>0.49</v>
      </c>
      <c r="P98">
        <f>_xlfn.MAXIFS(Table1[[#This Row],[VGChartz Score]:[User Score]],Table1[[#This Row],[VGChartz Score]:[User Score]],"&lt;&gt;#N/A")</f>
        <v>0</v>
      </c>
    </row>
    <row r="99" spans="1:16" hidden="1" x14ac:dyDescent="0.2">
      <c r="A99">
        <f t="shared" si="2"/>
        <v>98</v>
      </c>
      <c r="B99">
        <v>98</v>
      </c>
      <c r="C99" t="s">
        <v>138</v>
      </c>
      <c r="D99" t="s">
        <v>909</v>
      </c>
      <c r="E99" t="s">
        <v>719</v>
      </c>
      <c r="F99" t="s">
        <v>324</v>
      </c>
      <c r="G99" t="e">
        <v>#N/A</v>
      </c>
      <c r="H99" t="e">
        <v>#N/A</v>
      </c>
      <c r="I99" t="e">
        <v>#N/A</v>
      </c>
      <c r="J99" s="2" t="e">
        <v>#N/A</v>
      </c>
      <c r="K99" s="2">
        <v>0.49</v>
      </c>
      <c r="L99" t="s">
        <v>910</v>
      </c>
      <c r="M99" t="e">
        <v>#N/A</v>
      </c>
      <c r="N99">
        <f>2000+RIGHT(Table1[[#This Row],[Release Date]],2)</f>
        <v>2003</v>
      </c>
      <c r="O99">
        <f>_xlfn.MAXIFS(Table1[[#This Row],[Total Shipped]]:Table1[[#This Row],[Total Sales]],Table1[[#This Row],[Total Shipped]]:Table1[[#This Row],[Total Sales]],"&lt;&gt;#N/A")</f>
        <v>0.49</v>
      </c>
      <c r="P99">
        <f>_xlfn.MAXIFS(Table1[[#This Row],[VGChartz Score]:[User Score]],Table1[[#This Row],[VGChartz Score]:[User Score]],"&lt;&gt;#N/A")</f>
        <v>0</v>
      </c>
    </row>
    <row r="100" spans="1:16" hidden="1" x14ac:dyDescent="0.2">
      <c r="A100">
        <f t="shared" si="2"/>
        <v>99</v>
      </c>
      <c r="B100">
        <v>99</v>
      </c>
      <c r="C100" t="s">
        <v>138</v>
      </c>
      <c r="D100" t="s">
        <v>911</v>
      </c>
      <c r="E100" t="s">
        <v>719</v>
      </c>
      <c r="F100" t="s">
        <v>912</v>
      </c>
      <c r="G100" t="e">
        <v>#N/A</v>
      </c>
      <c r="H100">
        <v>7.2</v>
      </c>
      <c r="I100" t="e">
        <v>#N/A</v>
      </c>
      <c r="J100" s="1" t="e">
        <v>#N/A</v>
      </c>
      <c r="K100" s="1">
        <v>0.49</v>
      </c>
      <c r="L100" t="s">
        <v>728</v>
      </c>
      <c r="M100" t="e">
        <v>#N/A</v>
      </c>
      <c r="N100">
        <f>2000+RIGHT(Table1[[#This Row],[Release Date]],2)</f>
        <v>2001</v>
      </c>
      <c r="O100">
        <f>_xlfn.MAXIFS(Table1[[#This Row],[Total Shipped]]:Table1[[#This Row],[Total Sales]],Table1[[#This Row],[Total Shipped]]:Table1[[#This Row],[Total Sales]],"&lt;&gt;#N/A")</f>
        <v>0.49</v>
      </c>
      <c r="P100">
        <f>_xlfn.MAXIFS(Table1[[#This Row],[VGChartz Score]:[User Score]],Table1[[#This Row],[VGChartz Score]:[User Score]],"&lt;&gt;#N/A")</f>
        <v>7.2</v>
      </c>
    </row>
    <row r="101" spans="1:16" hidden="1" x14ac:dyDescent="0.2">
      <c r="A101">
        <f t="shared" si="2"/>
        <v>100</v>
      </c>
      <c r="B101">
        <v>100</v>
      </c>
      <c r="C101" t="s">
        <v>138</v>
      </c>
      <c r="D101" t="s">
        <v>913</v>
      </c>
      <c r="E101" t="s">
        <v>719</v>
      </c>
      <c r="F101" t="s">
        <v>1</v>
      </c>
      <c r="G101" t="e">
        <v>#N/A</v>
      </c>
      <c r="H101">
        <v>7</v>
      </c>
      <c r="I101" t="e">
        <v>#N/A</v>
      </c>
      <c r="J101" s="2" t="e">
        <v>#N/A</v>
      </c>
      <c r="K101" s="2">
        <v>0.47</v>
      </c>
      <c r="L101" t="s">
        <v>914</v>
      </c>
      <c r="M101" t="e">
        <v>#N/A</v>
      </c>
      <c r="N101">
        <f>2000+RIGHT(Table1[[#This Row],[Release Date]],2)</f>
        <v>2005</v>
      </c>
      <c r="O101">
        <f>_xlfn.MAXIFS(Table1[[#This Row],[Total Shipped]]:Table1[[#This Row],[Total Sales]],Table1[[#This Row],[Total Shipped]]:Table1[[#This Row],[Total Sales]],"&lt;&gt;#N/A")</f>
        <v>0.47</v>
      </c>
      <c r="P101">
        <f>_xlfn.MAXIFS(Table1[[#This Row],[VGChartz Score]:[User Score]],Table1[[#This Row],[VGChartz Score]:[User Score]],"&lt;&gt;#N/A")</f>
        <v>7</v>
      </c>
    </row>
    <row r="102" spans="1:16" hidden="1" x14ac:dyDescent="0.2">
      <c r="A102">
        <f t="shared" si="2"/>
        <v>101</v>
      </c>
      <c r="B102">
        <v>1</v>
      </c>
      <c r="C102" t="s">
        <v>138</v>
      </c>
      <c r="D102" t="s">
        <v>915</v>
      </c>
      <c r="E102" t="s">
        <v>916</v>
      </c>
      <c r="F102" t="s">
        <v>1</v>
      </c>
      <c r="G102" t="e">
        <v>#N/A</v>
      </c>
      <c r="H102">
        <v>9.1</v>
      </c>
      <c r="I102">
        <v>8.1</v>
      </c>
      <c r="J102" s="1">
        <v>30.8</v>
      </c>
      <c r="K102" s="1" t="e">
        <v>#N/A</v>
      </c>
      <c r="L102" t="s">
        <v>917</v>
      </c>
      <c r="M102" t="e">
        <v>#N/A</v>
      </c>
      <c r="N102">
        <f>2000+RIGHT(Table1[[#This Row],[Release Date]],2)</f>
        <v>2006</v>
      </c>
      <c r="O102">
        <f>_xlfn.MAXIFS(Table1[[#This Row],[Total Shipped]]:Table1[[#This Row],[Total Sales]],Table1[[#This Row],[Total Shipped]]:Table1[[#This Row],[Total Sales]],"&lt;&gt;#N/A")</f>
        <v>30.8</v>
      </c>
      <c r="P102">
        <f>_xlfn.MAXIFS(Table1[[#This Row],[VGChartz Score]:[User Score]],Table1[[#This Row],[VGChartz Score]:[User Score]],"&lt;&gt;#N/A")</f>
        <v>9.1</v>
      </c>
    </row>
    <row r="103" spans="1:16" hidden="1" x14ac:dyDescent="0.2">
      <c r="A103">
        <f t="shared" si="2"/>
        <v>102</v>
      </c>
      <c r="B103">
        <v>2</v>
      </c>
      <c r="C103" t="s">
        <v>138</v>
      </c>
      <c r="D103" t="s">
        <v>918</v>
      </c>
      <c r="E103" t="s">
        <v>916</v>
      </c>
      <c r="F103" t="s">
        <v>1</v>
      </c>
      <c r="G103" t="e">
        <v>#N/A</v>
      </c>
      <c r="H103">
        <v>8.4</v>
      </c>
      <c r="I103" t="e">
        <v>#N/A</v>
      </c>
      <c r="J103" s="2">
        <v>23.96</v>
      </c>
      <c r="K103" s="2" t="e">
        <v>#N/A</v>
      </c>
      <c r="L103" t="s">
        <v>919</v>
      </c>
      <c r="M103" t="e">
        <v>#N/A</v>
      </c>
      <c r="N103">
        <f>2000+RIGHT(Table1[[#This Row],[Release Date]],2)</f>
        <v>2005</v>
      </c>
      <c r="O103">
        <f>_xlfn.MAXIFS(Table1[[#This Row],[Total Shipped]]:Table1[[#This Row],[Total Sales]],Table1[[#This Row],[Total Shipped]]:Table1[[#This Row],[Total Sales]],"&lt;&gt;#N/A")</f>
        <v>23.96</v>
      </c>
      <c r="P103">
        <f>_xlfn.MAXIFS(Table1[[#This Row],[VGChartz Score]:[User Score]],Table1[[#This Row],[VGChartz Score]:[User Score]],"&lt;&gt;#N/A")</f>
        <v>8.4</v>
      </c>
    </row>
    <row r="104" spans="1:16" hidden="1" x14ac:dyDescent="0.2">
      <c r="A104">
        <f t="shared" si="2"/>
        <v>103</v>
      </c>
      <c r="B104">
        <v>3</v>
      </c>
      <c r="C104" t="s">
        <v>138</v>
      </c>
      <c r="D104" t="s">
        <v>920</v>
      </c>
      <c r="E104" t="s">
        <v>916</v>
      </c>
      <c r="F104" t="s">
        <v>1</v>
      </c>
      <c r="G104" t="e">
        <v>#N/A</v>
      </c>
      <c r="H104">
        <v>9.1</v>
      </c>
      <c r="I104">
        <v>9.4</v>
      </c>
      <c r="J104" s="1">
        <v>23.6</v>
      </c>
      <c r="K104" s="1" t="e">
        <v>#N/A</v>
      </c>
      <c r="L104" t="s">
        <v>921</v>
      </c>
      <c r="M104" t="e">
        <v>#N/A</v>
      </c>
      <c r="N104">
        <f>2000+RIGHT(Table1[[#This Row],[Release Date]],2)</f>
        <v>2005</v>
      </c>
      <c r="O104">
        <f>_xlfn.MAXIFS(Table1[[#This Row],[Total Shipped]]:Table1[[#This Row],[Total Sales]],Table1[[#This Row],[Total Shipped]]:Table1[[#This Row],[Total Sales]],"&lt;&gt;#N/A")</f>
        <v>23.6</v>
      </c>
      <c r="P104">
        <f>_xlfn.MAXIFS(Table1[[#This Row],[VGChartz Score]:[User Score]],Table1[[#This Row],[VGChartz Score]:[User Score]],"&lt;&gt;#N/A")</f>
        <v>9.4</v>
      </c>
    </row>
    <row r="105" spans="1:16" hidden="1" x14ac:dyDescent="0.2">
      <c r="A105">
        <f t="shared" si="2"/>
        <v>104</v>
      </c>
      <c r="B105">
        <v>4</v>
      </c>
      <c r="C105" t="s">
        <v>138</v>
      </c>
      <c r="D105" t="s">
        <v>922</v>
      </c>
      <c r="E105" t="s">
        <v>916</v>
      </c>
      <c r="F105" t="s">
        <v>1</v>
      </c>
      <c r="G105" t="e">
        <v>#N/A</v>
      </c>
      <c r="H105">
        <v>8.1</v>
      </c>
      <c r="I105" t="e">
        <v>#N/A</v>
      </c>
      <c r="J105" s="2">
        <v>19.010000000000002</v>
      </c>
      <c r="K105" s="2" t="e">
        <v>#N/A</v>
      </c>
      <c r="L105" t="s">
        <v>923</v>
      </c>
      <c r="M105" t="e">
        <v>#N/A</v>
      </c>
      <c r="N105">
        <f>2000+RIGHT(Table1[[#This Row],[Release Date]],2)</f>
        <v>2006</v>
      </c>
      <c r="O105">
        <f>_xlfn.MAXIFS(Table1[[#This Row],[Total Shipped]]:Table1[[#This Row],[Total Sales]],Table1[[#This Row],[Total Shipped]]:Table1[[#This Row],[Total Sales]],"&lt;&gt;#N/A")</f>
        <v>19.010000000000002</v>
      </c>
      <c r="P105">
        <f>_xlfn.MAXIFS(Table1[[#This Row],[VGChartz Score]:[User Score]],Table1[[#This Row],[VGChartz Score]:[User Score]],"&lt;&gt;#N/A")</f>
        <v>8.1</v>
      </c>
    </row>
    <row r="106" spans="1:16" hidden="1" x14ac:dyDescent="0.2">
      <c r="A106">
        <f t="shared" si="2"/>
        <v>105</v>
      </c>
      <c r="B106">
        <v>5</v>
      </c>
      <c r="C106" t="s">
        <v>138</v>
      </c>
      <c r="D106" t="s">
        <v>924</v>
      </c>
      <c r="E106" t="s">
        <v>916</v>
      </c>
      <c r="F106" t="s">
        <v>1</v>
      </c>
      <c r="G106" t="e">
        <v>#N/A</v>
      </c>
      <c r="H106">
        <v>8.6</v>
      </c>
      <c r="I106" t="e">
        <v>#N/A</v>
      </c>
      <c r="J106" s="1">
        <v>17.670000000000002</v>
      </c>
      <c r="K106" s="1" t="e">
        <v>#N/A</v>
      </c>
      <c r="L106" t="s">
        <v>925</v>
      </c>
      <c r="M106" t="e">
        <v>#N/A</v>
      </c>
      <c r="N106">
        <f>2000+RIGHT(Table1[[#This Row],[Release Date]],2)</f>
        <v>2007</v>
      </c>
      <c r="O106">
        <f>_xlfn.MAXIFS(Table1[[#This Row],[Total Shipped]]:Table1[[#This Row],[Total Sales]],Table1[[#This Row],[Total Shipped]]:Table1[[#This Row],[Total Sales]],"&lt;&gt;#N/A")</f>
        <v>17.670000000000002</v>
      </c>
      <c r="P106">
        <f>_xlfn.MAXIFS(Table1[[#This Row],[VGChartz Score]:[User Score]],Table1[[#This Row],[VGChartz Score]:[User Score]],"&lt;&gt;#N/A")</f>
        <v>8.6</v>
      </c>
    </row>
    <row r="107" spans="1:16" hidden="1" x14ac:dyDescent="0.2">
      <c r="A107">
        <f t="shared" si="2"/>
        <v>106</v>
      </c>
      <c r="B107">
        <v>6</v>
      </c>
      <c r="C107" t="s">
        <v>138</v>
      </c>
      <c r="D107" t="s">
        <v>926</v>
      </c>
      <c r="E107" t="s">
        <v>916</v>
      </c>
      <c r="F107" t="s">
        <v>1</v>
      </c>
      <c r="G107">
        <v>8.9</v>
      </c>
      <c r="H107">
        <v>8.6</v>
      </c>
      <c r="I107">
        <v>9</v>
      </c>
      <c r="J107" s="2">
        <v>15.64</v>
      </c>
      <c r="K107" s="2" t="e">
        <v>#N/A</v>
      </c>
      <c r="L107" t="s">
        <v>927</v>
      </c>
      <c r="M107" t="e">
        <v>#N/A</v>
      </c>
      <c r="N107">
        <f>2000+RIGHT(Table1[[#This Row],[Release Date]],2)</f>
        <v>2011</v>
      </c>
      <c r="O107">
        <f>_xlfn.MAXIFS(Table1[[#This Row],[Total Shipped]]:Table1[[#This Row],[Total Sales]],Table1[[#This Row],[Total Shipped]]:Table1[[#This Row],[Total Sales]],"&lt;&gt;#N/A")</f>
        <v>15.64</v>
      </c>
      <c r="P107">
        <f>_xlfn.MAXIFS(Table1[[#This Row],[VGChartz Score]:[User Score]],Table1[[#This Row],[VGChartz Score]:[User Score]],"&lt;&gt;#N/A")</f>
        <v>9</v>
      </c>
    </row>
    <row r="108" spans="1:16" hidden="1" x14ac:dyDescent="0.2">
      <c r="A108">
        <f t="shared" si="2"/>
        <v>107</v>
      </c>
      <c r="B108">
        <v>7</v>
      </c>
      <c r="C108" t="s">
        <v>138</v>
      </c>
      <c r="D108" t="s">
        <v>928</v>
      </c>
      <c r="E108" t="s">
        <v>916</v>
      </c>
      <c r="F108" t="s">
        <v>1</v>
      </c>
      <c r="G108" t="e">
        <v>#N/A</v>
      </c>
      <c r="H108">
        <v>8</v>
      </c>
      <c r="I108" t="e">
        <v>#N/A</v>
      </c>
      <c r="J108" s="1">
        <v>14.88</v>
      </c>
      <c r="K108" s="1" t="e">
        <v>#N/A</v>
      </c>
      <c r="L108" t="s">
        <v>929</v>
      </c>
      <c r="M108" t="e">
        <v>#N/A</v>
      </c>
      <c r="N108">
        <f>2000+RIGHT(Table1[[#This Row],[Release Date]],2)</f>
        <v>2007</v>
      </c>
      <c r="O108">
        <f>_xlfn.MAXIFS(Table1[[#This Row],[Total Shipped]]:Table1[[#This Row],[Total Sales]],Table1[[#This Row],[Total Shipped]]:Table1[[#This Row],[Total Sales]],"&lt;&gt;#N/A")</f>
        <v>14.88</v>
      </c>
      <c r="P108">
        <f>_xlfn.MAXIFS(Table1[[#This Row],[VGChartz Score]:[User Score]],Table1[[#This Row],[VGChartz Score]:[User Score]],"&lt;&gt;#N/A")</f>
        <v>8</v>
      </c>
    </row>
    <row r="109" spans="1:16" hidden="1" x14ac:dyDescent="0.2">
      <c r="A109">
        <f t="shared" si="2"/>
        <v>108</v>
      </c>
      <c r="B109">
        <v>8</v>
      </c>
      <c r="C109" t="s">
        <v>138</v>
      </c>
      <c r="D109" t="s">
        <v>930</v>
      </c>
      <c r="E109" t="s">
        <v>916</v>
      </c>
      <c r="F109" t="s">
        <v>1</v>
      </c>
      <c r="G109">
        <v>8.5</v>
      </c>
      <c r="H109">
        <v>8.6</v>
      </c>
      <c r="I109" t="e">
        <v>#N/A</v>
      </c>
      <c r="J109" s="2">
        <v>12.72</v>
      </c>
      <c r="K109" s="2" t="e">
        <v>#N/A</v>
      </c>
      <c r="L109" t="s">
        <v>931</v>
      </c>
      <c r="M109" t="e">
        <v>#N/A</v>
      </c>
      <c r="N109">
        <f>2000+RIGHT(Table1[[#This Row],[Release Date]],2)</f>
        <v>2010</v>
      </c>
      <c r="O109">
        <f>_xlfn.MAXIFS(Table1[[#This Row],[Total Shipped]]:Table1[[#This Row],[Total Sales]],Table1[[#This Row],[Total Shipped]]:Table1[[#This Row],[Total Sales]],"&lt;&gt;#N/A")</f>
        <v>12.72</v>
      </c>
      <c r="P109">
        <f>_xlfn.MAXIFS(Table1[[#This Row],[VGChartz Score]:[User Score]],Table1[[#This Row],[VGChartz Score]:[User Score]],"&lt;&gt;#N/A")</f>
        <v>8.6</v>
      </c>
    </row>
    <row r="110" spans="1:16" hidden="1" x14ac:dyDescent="0.2">
      <c r="A110">
        <f t="shared" si="2"/>
        <v>109</v>
      </c>
      <c r="B110">
        <v>9</v>
      </c>
      <c r="C110" t="s">
        <v>138</v>
      </c>
      <c r="D110" t="s">
        <v>932</v>
      </c>
      <c r="E110" t="s">
        <v>916</v>
      </c>
      <c r="F110" t="s">
        <v>1</v>
      </c>
      <c r="G110" t="e">
        <v>#N/A</v>
      </c>
      <c r="H110">
        <v>8.5</v>
      </c>
      <c r="I110" t="e">
        <v>#N/A</v>
      </c>
      <c r="J110" s="1">
        <v>11.75</v>
      </c>
      <c r="K110" s="1" t="e">
        <v>#N/A</v>
      </c>
      <c r="L110" t="s">
        <v>756</v>
      </c>
      <c r="M110" t="e">
        <v>#N/A</v>
      </c>
      <c r="N110">
        <f>2000+RIGHT(Table1[[#This Row],[Release Date]],2)</f>
        <v>2005</v>
      </c>
      <c r="O110">
        <f>_xlfn.MAXIFS(Table1[[#This Row],[Total Shipped]]:Table1[[#This Row],[Total Sales]],Table1[[#This Row],[Total Shipped]]:Table1[[#This Row],[Total Sales]],"&lt;&gt;#N/A")</f>
        <v>11.75</v>
      </c>
      <c r="P110">
        <f>_xlfn.MAXIFS(Table1[[#This Row],[VGChartz Score]:[User Score]],Table1[[#This Row],[VGChartz Score]:[User Score]],"&lt;&gt;#N/A")</f>
        <v>8.5</v>
      </c>
    </row>
    <row r="111" spans="1:16" hidden="1" x14ac:dyDescent="0.2">
      <c r="A111">
        <f t="shared" si="2"/>
        <v>110</v>
      </c>
      <c r="B111">
        <v>10</v>
      </c>
      <c r="C111" t="s">
        <v>138</v>
      </c>
      <c r="D111" t="s">
        <v>933</v>
      </c>
      <c r="E111" t="s">
        <v>916</v>
      </c>
      <c r="F111" t="s">
        <v>1</v>
      </c>
      <c r="G111" t="e">
        <v>#N/A</v>
      </c>
      <c r="H111">
        <v>8.6</v>
      </c>
      <c r="I111" t="e">
        <v>#N/A</v>
      </c>
      <c r="J111" s="2">
        <v>11.06</v>
      </c>
      <c r="K111" s="2" t="e">
        <v>#N/A</v>
      </c>
      <c r="L111" t="s">
        <v>934</v>
      </c>
      <c r="M111" t="e">
        <v>#N/A</v>
      </c>
      <c r="N111">
        <f>2000+RIGHT(Table1[[#This Row],[Release Date]],2)</f>
        <v>2004</v>
      </c>
      <c r="O111">
        <f>_xlfn.MAXIFS(Table1[[#This Row],[Total Shipped]]:Table1[[#This Row],[Total Sales]],Table1[[#This Row],[Total Shipped]]:Table1[[#This Row],[Total Sales]],"&lt;&gt;#N/A")</f>
        <v>11.06</v>
      </c>
      <c r="P111">
        <f>_xlfn.MAXIFS(Table1[[#This Row],[VGChartz Score]:[User Score]],Table1[[#This Row],[VGChartz Score]:[User Score]],"&lt;&gt;#N/A")</f>
        <v>8.6</v>
      </c>
    </row>
    <row r="112" spans="1:16" hidden="1" x14ac:dyDescent="0.2">
      <c r="A112">
        <f t="shared" si="2"/>
        <v>111</v>
      </c>
      <c r="B112">
        <v>11</v>
      </c>
      <c r="C112" t="s">
        <v>138</v>
      </c>
      <c r="D112" t="s">
        <v>935</v>
      </c>
      <c r="E112" t="s">
        <v>916</v>
      </c>
      <c r="F112" t="s">
        <v>1</v>
      </c>
      <c r="G112" t="e">
        <v>#N/A</v>
      </c>
      <c r="H112">
        <v>7.1</v>
      </c>
      <c r="I112" t="e">
        <v>#N/A</v>
      </c>
      <c r="J112" s="1">
        <v>9.31</v>
      </c>
      <c r="K112" s="1" t="e">
        <v>#N/A</v>
      </c>
      <c r="L112" t="s">
        <v>936</v>
      </c>
      <c r="M112" t="e">
        <v>#N/A</v>
      </c>
      <c r="N112">
        <f>2000+RIGHT(Table1[[#This Row],[Release Date]],2)</f>
        <v>2007</v>
      </c>
      <c r="O112">
        <f>_xlfn.MAXIFS(Table1[[#This Row],[Total Shipped]]:Table1[[#This Row],[Total Sales]],Table1[[#This Row],[Total Shipped]]:Table1[[#This Row],[Total Sales]],"&lt;&gt;#N/A")</f>
        <v>9.31</v>
      </c>
      <c r="P112">
        <f>_xlfn.MAXIFS(Table1[[#This Row],[VGChartz Score]:[User Score]],Table1[[#This Row],[VGChartz Score]:[User Score]],"&lt;&gt;#N/A")</f>
        <v>7.1</v>
      </c>
    </row>
    <row r="113" spans="1:16" hidden="1" x14ac:dyDescent="0.2">
      <c r="A113">
        <f t="shared" si="2"/>
        <v>112</v>
      </c>
      <c r="B113">
        <v>12</v>
      </c>
      <c r="C113" t="s">
        <v>138</v>
      </c>
      <c r="D113" t="s">
        <v>937</v>
      </c>
      <c r="E113" t="s">
        <v>916</v>
      </c>
      <c r="F113" t="s">
        <v>1</v>
      </c>
      <c r="G113">
        <v>8.9</v>
      </c>
      <c r="H113">
        <v>8</v>
      </c>
      <c r="I113">
        <v>8.3000000000000007</v>
      </c>
      <c r="J113" s="2">
        <v>8.52</v>
      </c>
      <c r="K113" s="2" t="e">
        <v>#N/A</v>
      </c>
      <c r="L113" t="s">
        <v>938</v>
      </c>
      <c r="M113" t="s">
        <v>939</v>
      </c>
      <c r="N113">
        <f>2000+RIGHT(Table1[[#This Row],[Release Date]],2)</f>
        <v>2012</v>
      </c>
      <c r="O113">
        <f>_xlfn.MAXIFS(Table1[[#This Row],[Total Shipped]]:Table1[[#This Row],[Total Sales]],Table1[[#This Row],[Total Shipped]]:Table1[[#This Row],[Total Sales]],"&lt;&gt;#N/A")</f>
        <v>8.52</v>
      </c>
      <c r="P113">
        <f>_xlfn.MAXIFS(Table1[[#This Row],[VGChartz Score]:[User Score]],Table1[[#This Row],[VGChartz Score]:[User Score]],"&lt;&gt;#N/A")</f>
        <v>8.9</v>
      </c>
    </row>
    <row r="114" spans="1:16" hidden="1" x14ac:dyDescent="0.2">
      <c r="A114">
        <f t="shared" si="2"/>
        <v>113</v>
      </c>
      <c r="B114">
        <v>13</v>
      </c>
      <c r="C114" t="s">
        <v>138</v>
      </c>
      <c r="D114" t="s">
        <v>940</v>
      </c>
      <c r="E114" t="s">
        <v>916</v>
      </c>
      <c r="F114" t="s">
        <v>1</v>
      </c>
      <c r="G114" t="e">
        <v>#N/A</v>
      </c>
      <c r="H114">
        <v>8.3000000000000007</v>
      </c>
      <c r="I114">
        <v>8.9</v>
      </c>
      <c r="J114" s="1">
        <v>7.6</v>
      </c>
      <c r="K114" s="1" t="e">
        <v>#N/A</v>
      </c>
      <c r="L114" t="s">
        <v>941</v>
      </c>
      <c r="M114" t="e">
        <v>#N/A</v>
      </c>
      <c r="N114">
        <f>2000+RIGHT(Table1[[#This Row],[Release Date]],2)</f>
        <v>2009</v>
      </c>
      <c r="O114">
        <f>_xlfn.MAXIFS(Table1[[#This Row],[Total Shipped]]:Table1[[#This Row],[Total Sales]],Table1[[#This Row],[Total Shipped]]:Table1[[#This Row],[Total Sales]],"&lt;&gt;#N/A")</f>
        <v>7.6</v>
      </c>
      <c r="P114">
        <f>_xlfn.MAXIFS(Table1[[#This Row],[VGChartz Score]:[User Score]],Table1[[#This Row],[VGChartz Score]:[User Score]],"&lt;&gt;#N/A")</f>
        <v>8.9</v>
      </c>
    </row>
    <row r="115" spans="1:16" hidden="1" x14ac:dyDescent="0.2">
      <c r="A115">
        <f t="shared" si="2"/>
        <v>114</v>
      </c>
      <c r="B115">
        <v>14</v>
      </c>
      <c r="C115" t="s">
        <v>138</v>
      </c>
      <c r="D115" t="s">
        <v>942</v>
      </c>
      <c r="E115" t="s">
        <v>916</v>
      </c>
      <c r="F115" t="s">
        <v>1</v>
      </c>
      <c r="G115" t="e">
        <v>#N/A</v>
      </c>
      <c r="H115">
        <v>7.7</v>
      </c>
      <c r="I115" t="e">
        <v>#N/A</v>
      </c>
      <c r="J115" s="2">
        <v>6.15</v>
      </c>
      <c r="K115" s="2" t="e">
        <v>#N/A</v>
      </c>
      <c r="L115" t="s">
        <v>943</v>
      </c>
      <c r="M115" t="e">
        <v>#N/A</v>
      </c>
      <c r="N115">
        <f>2000+RIGHT(Table1[[#This Row],[Release Date]],2)</f>
        <v>2006</v>
      </c>
      <c r="O115">
        <f>_xlfn.MAXIFS(Table1[[#This Row],[Total Shipped]]:Table1[[#This Row],[Total Sales]],Table1[[#This Row],[Total Shipped]]:Table1[[#This Row],[Total Sales]],"&lt;&gt;#N/A")</f>
        <v>6.15</v>
      </c>
      <c r="P115">
        <f>_xlfn.MAXIFS(Table1[[#This Row],[VGChartz Score]:[User Score]],Table1[[#This Row],[VGChartz Score]:[User Score]],"&lt;&gt;#N/A")</f>
        <v>7.7</v>
      </c>
    </row>
    <row r="116" spans="1:16" hidden="1" x14ac:dyDescent="0.2">
      <c r="A116">
        <f t="shared" si="2"/>
        <v>115</v>
      </c>
      <c r="B116">
        <v>15</v>
      </c>
      <c r="C116" t="s">
        <v>138</v>
      </c>
      <c r="D116" t="s">
        <v>944</v>
      </c>
      <c r="E116" t="s">
        <v>916</v>
      </c>
      <c r="F116" t="s">
        <v>945</v>
      </c>
      <c r="G116" t="e">
        <v>#N/A</v>
      </c>
      <c r="H116">
        <v>6.6</v>
      </c>
      <c r="I116" t="e">
        <v>#N/A</v>
      </c>
      <c r="J116" s="1" t="e">
        <v>#N/A</v>
      </c>
      <c r="K116" s="1">
        <v>5.66</v>
      </c>
      <c r="L116" t="s">
        <v>811</v>
      </c>
      <c r="M116" t="e">
        <v>#N/A</v>
      </c>
      <c r="N116">
        <f>2000+RIGHT(Table1[[#This Row],[Release Date]],2)</f>
        <v>2006</v>
      </c>
      <c r="O116">
        <f>_xlfn.MAXIFS(Table1[[#This Row],[Total Shipped]]:Table1[[#This Row],[Total Sales]],Table1[[#This Row],[Total Shipped]]:Table1[[#This Row],[Total Sales]],"&lt;&gt;#N/A")</f>
        <v>5.66</v>
      </c>
      <c r="P116">
        <f>_xlfn.MAXIFS(Table1[[#This Row],[VGChartz Score]:[User Score]],Table1[[#This Row],[VGChartz Score]:[User Score]],"&lt;&gt;#N/A")</f>
        <v>6.6</v>
      </c>
    </row>
    <row r="117" spans="1:16" hidden="1" x14ac:dyDescent="0.2">
      <c r="A117">
        <f t="shared" si="2"/>
        <v>116</v>
      </c>
      <c r="B117">
        <v>16</v>
      </c>
      <c r="C117" t="s">
        <v>138</v>
      </c>
      <c r="D117" t="s">
        <v>946</v>
      </c>
      <c r="E117" t="s">
        <v>916</v>
      </c>
      <c r="F117" t="s">
        <v>1</v>
      </c>
      <c r="G117">
        <v>7.7</v>
      </c>
      <c r="H117">
        <v>8.6</v>
      </c>
      <c r="I117" t="e">
        <v>#N/A</v>
      </c>
      <c r="J117" s="2">
        <v>5.5</v>
      </c>
      <c r="K117" s="2" t="e">
        <v>#N/A</v>
      </c>
      <c r="L117" t="s">
        <v>947</v>
      </c>
      <c r="M117" t="e">
        <v>#N/A</v>
      </c>
      <c r="N117">
        <f>2000+RIGHT(Table1[[#This Row],[Release Date]],2)</f>
        <v>2010</v>
      </c>
      <c r="O117">
        <f>_xlfn.MAXIFS(Table1[[#This Row],[Total Shipped]]:Table1[[#This Row],[Total Sales]],Table1[[#This Row],[Total Shipped]]:Table1[[#This Row],[Total Sales]],"&lt;&gt;#N/A")</f>
        <v>5.5</v>
      </c>
      <c r="P117">
        <f>_xlfn.MAXIFS(Table1[[#This Row],[VGChartz Score]:[User Score]],Table1[[#This Row],[VGChartz Score]:[User Score]],"&lt;&gt;#N/A")</f>
        <v>8.6</v>
      </c>
    </row>
    <row r="118" spans="1:16" hidden="1" x14ac:dyDescent="0.2">
      <c r="A118">
        <f t="shared" si="2"/>
        <v>117</v>
      </c>
      <c r="B118">
        <v>17</v>
      </c>
      <c r="C118" t="s">
        <v>138</v>
      </c>
      <c r="D118" t="s">
        <v>948</v>
      </c>
      <c r="E118" t="s">
        <v>916</v>
      </c>
      <c r="F118" t="s">
        <v>240</v>
      </c>
      <c r="G118" t="e">
        <v>#N/A</v>
      </c>
      <c r="H118">
        <v>7</v>
      </c>
      <c r="I118" t="e">
        <v>#N/A</v>
      </c>
      <c r="J118" s="1" t="e">
        <v>#N/A</v>
      </c>
      <c r="K118" s="1">
        <v>5.0999999999999996</v>
      </c>
      <c r="L118" t="s">
        <v>949</v>
      </c>
      <c r="M118" t="e">
        <v>#N/A</v>
      </c>
      <c r="N118">
        <f>2000+RIGHT(Table1[[#This Row],[Release Date]],2)</f>
        <v>2008</v>
      </c>
      <c r="O118">
        <f>_xlfn.MAXIFS(Table1[[#This Row],[Total Shipped]]:Table1[[#This Row],[Total Sales]],Table1[[#This Row],[Total Shipped]]:Table1[[#This Row],[Total Sales]],"&lt;&gt;#N/A")</f>
        <v>5.0999999999999996</v>
      </c>
      <c r="P118">
        <f>_xlfn.MAXIFS(Table1[[#This Row],[VGChartz Score]:[User Score]],Table1[[#This Row],[VGChartz Score]:[User Score]],"&lt;&gt;#N/A")</f>
        <v>7</v>
      </c>
    </row>
    <row r="119" spans="1:16" hidden="1" x14ac:dyDescent="0.2">
      <c r="A119">
        <f t="shared" si="2"/>
        <v>118</v>
      </c>
      <c r="B119">
        <v>18</v>
      </c>
      <c r="C119" t="s">
        <v>138</v>
      </c>
      <c r="D119" t="s">
        <v>950</v>
      </c>
      <c r="E119" t="s">
        <v>916</v>
      </c>
      <c r="F119" t="s">
        <v>1</v>
      </c>
      <c r="G119" t="e">
        <v>#N/A</v>
      </c>
      <c r="H119">
        <v>6.4</v>
      </c>
      <c r="I119" t="e">
        <v>#N/A</v>
      </c>
      <c r="J119" s="2">
        <v>4.88</v>
      </c>
      <c r="K119" s="2" t="e">
        <v>#N/A</v>
      </c>
      <c r="L119" t="s">
        <v>951</v>
      </c>
      <c r="M119" t="e">
        <v>#N/A</v>
      </c>
      <c r="N119">
        <f>2000+RIGHT(Table1[[#This Row],[Release Date]],2)</f>
        <v>2008</v>
      </c>
      <c r="O119">
        <f>_xlfn.MAXIFS(Table1[[#This Row],[Total Shipped]]:Table1[[#This Row],[Total Sales]],Table1[[#This Row],[Total Shipped]]:Table1[[#This Row],[Total Sales]],"&lt;&gt;#N/A")</f>
        <v>4.88</v>
      </c>
      <c r="P119">
        <f>_xlfn.MAXIFS(Table1[[#This Row],[VGChartz Score]:[User Score]],Table1[[#This Row],[VGChartz Score]:[User Score]],"&lt;&gt;#N/A")</f>
        <v>6.4</v>
      </c>
    </row>
    <row r="120" spans="1:16" hidden="1" x14ac:dyDescent="0.2">
      <c r="A120">
        <f t="shared" si="2"/>
        <v>119</v>
      </c>
      <c r="B120">
        <v>19</v>
      </c>
      <c r="C120" t="s">
        <v>138</v>
      </c>
      <c r="D120" t="s">
        <v>674</v>
      </c>
      <c r="E120" t="s">
        <v>916</v>
      </c>
      <c r="F120" t="s">
        <v>675</v>
      </c>
      <c r="G120" t="e">
        <v>#N/A</v>
      </c>
      <c r="H120">
        <v>7.8</v>
      </c>
      <c r="I120" t="e">
        <v>#N/A</v>
      </c>
      <c r="J120" s="1" t="e">
        <v>#N/A</v>
      </c>
      <c r="K120" s="1">
        <v>4.7699999999999996</v>
      </c>
      <c r="L120" t="s">
        <v>676</v>
      </c>
      <c r="M120" t="e">
        <v>#N/A</v>
      </c>
      <c r="N120">
        <f>2000+RIGHT(Table1[[#This Row],[Release Date]],2)</f>
        <v>2007</v>
      </c>
      <c r="O120">
        <f>_xlfn.MAXIFS(Table1[[#This Row],[Total Shipped]]:Table1[[#This Row],[Total Sales]],Table1[[#This Row],[Total Shipped]]:Table1[[#This Row],[Total Sales]],"&lt;&gt;#N/A")</f>
        <v>4.7699999999999996</v>
      </c>
      <c r="P120">
        <f>_xlfn.MAXIFS(Table1[[#This Row],[VGChartz Score]:[User Score]],Table1[[#This Row],[VGChartz Score]:[User Score]],"&lt;&gt;#N/A")</f>
        <v>7.8</v>
      </c>
    </row>
    <row r="121" spans="1:16" hidden="1" x14ac:dyDescent="0.2">
      <c r="A121">
        <f t="shared" si="2"/>
        <v>120</v>
      </c>
      <c r="B121">
        <v>20</v>
      </c>
      <c r="C121" t="s">
        <v>138</v>
      </c>
      <c r="D121" t="s">
        <v>952</v>
      </c>
      <c r="E121" t="s">
        <v>916</v>
      </c>
      <c r="F121" t="s">
        <v>1</v>
      </c>
      <c r="G121">
        <v>9.1999999999999993</v>
      </c>
      <c r="H121">
        <v>9.1</v>
      </c>
      <c r="I121" t="e">
        <v>#N/A</v>
      </c>
      <c r="J121" s="2">
        <v>4.76</v>
      </c>
      <c r="K121" s="2" t="e">
        <v>#N/A</v>
      </c>
      <c r="L121" t="s">
        <v>953</v>
      </c>
      <c r="M121" t="e">
        <v>#N/A</v>
      </c>
      <c r="N121">
        <f>2000+RIGHT(Table1[[#This Row],[Release Date]],2)</f>
        <v>2007</v>
      </c>
      <c r="O121">
        <f>_xlfn.MAXIFS(Table1[[#This Row],[Total Shipped]]:Table1[[#This Row],[Total Sales]],Table1[[#This Row],[Total Shipped]]:Table1[[#This Row],[Total Sales]],"&lt;&gt;#N/A")</f>
        <v>4.76</v>
      </c>
      <c r="P121">
        <f>_xlfn.MAXIFS(Table1[[#This Row],[VGChartz Score]:[User Score]],Table1[[#This Row],[VGChartz Score]:[User Score]],"&lt;&gt;#N/A")</f>
        <v>9.1999999999999993</v>
      </c>
    </row>
    <row r="122" spans="1:16" hidden="1" x14ac:dyDescent="0.2">
      <c r="A122">
        <f t="shared" si="2"/>
        <v>121</v>
      </c>
      <c r="B122">
        <v>21</v>
      </c>
      <c r="C122" t="s">
        <v>138</v>
      </c>
      <c r="D122" t="s">
        <v>954</v>
      </c>
      <c r="E122" t="s">
        <v>916</v>
      </c>
      <c r="F122" t="s">
        <v>1</v>
      </c>
      <c r="G122">
        <v>9.1</v>
      </c>
      <c r="H122">
        <v>9.1</v>
      </c>
      <c r="I122" t="e">
        <v>#N/A</v>
      </c>
      <c r="J122" s="1">
        <v>4.5599999999999996</v>
      </c>
      <c r="K122" s="1" t="e">
        <v>#N/A</v>
      </c>
      <c r="L122" t="s">
        <v>955</v>
      </c>
      <c r="M122" t="e">
        <v>#N/A</v>
      </c>
      <c r="N122">
        <f>2000+RIGHT(Table1[[#This Row],[Release Date]],2)</f>
        <v>2009</v>
      </c>
      <c r="O122">
        <f>_xlfn.MAXIFS(Table1[[#This Row],[Total Shipped]]:Table1[[#This Row],[Total Sales]],Table1[[#This Row],[Total Shipped]]:Table1[[#This Row],[Total Sales]],"&lt;&gt;#N/A")</f>
        <v>4.5599999999999996</v>
      </c>
      <c r="P122">
        <f>_xlfn.MAXIFS(Table1[[#This Row],[VGChartz Score]:[User Score]],Table1[[#This Row],[VGChartz Score]:[User Score]],"&lt;&gt;#N/A")</f>
        <v>9.1</v>
      </c>
    </row>
    <row r="123" spans="1:16" hidden="1" x14ac:dyDescent="0.2">
      <c r="A123">
        <f t="shared" si="2"/>
        <v>122</v>
      </c>
      <c r="B123">
        <v>22</v>
      </c>
      <c r="C123" t="s">
        <v>138</v>
      </c>
      <c r="D123" t="s">
        <v>956</v>
      </c>
      <c r="E123" t="s">
        <v>916</v>
      </c>
      <c r="F123" t="s">
        <v>1</v>
      </c>
      <c r="G123" t="e">
        <v>#N/A</v>
      </c>
      <c r="H123">
        <v>8.6999999999999993</v>
      </c>
      <c r="I123" t="e">
        <v>#N/A</v>
      </c>
      <c r="J123" s="2">
        <v>4.49</v>
      </c>
      <c r="K123" s="2" t="e">
        <v>#N/A</v>
      </c>
      <c r="L123" t="s">
        <v>957</v>
      </c>
      <c r="M123" t="e">
        <v>#N/A</v>
      </c>
      <c r="N123">
        <f>2000+RIGHT(Table1[[#This Row],[Release Date]],2)</f>
        <v>2008</v>
      </c>
      <c r="O123">
        <f>_xlfn.MAXIFS(Table1[[#This Row],[Total Shipped]]:Table1[[#This Row],[Total Sales]],Table1[[#This Row],[Total Shipped]]:Table1[[#This Row],[Total Sales]],"&lt;&gt;#N/A")</f>
        <v>4.49</v>
      </c>
      <c r="P123">
        <f>_xlfn.MAXIFS(Table1[[#This Row],[VGChartz Score]:[User Score]],Table1[[#This Row],[VGChartz Score]:[User Score]],"&lt;&gt;#N/A")</f>
        <v>8.6999999999999993</v>
      </c>
    </row>
    <row r="124" spans="1:16" hidden="1" x14ac:dyDescent="0.2">
      <c r="A124">
        <f t="shared" si="2"/>
        <v>123</v>
      </c>
      <c r="B124">
        <v>23</v>
      </c>
      <c r="C124" t="s">
        <v>138</v>
      </c>
      <c r="D124" t="s">
        <v>958</v>
      </c>
      <c r="E124" t="s">
        <v>916</v>
      </c>
      <c r="F124" t="s">
        <v>1</v>
      </c>
      <c r="G124" t="e">
        <v>#N/A</v>
      </c>
      <c r="H124" t="e">
        <v>#N/A</v>
      </c>
      <c r="I124" t="e">
        <v>#N/A</v>
      </c>
      <c r="J124" s="1">
        <v>3.91</v>
      </c>
      <c r="K124" s="1" t="e">
        <v>#N/A</v>
      </c>
      <c r="L124" t="s">
        <v>959</v>
      </c>
      <c r="M124" t="e">
        <v>#N/A</v>
      </c>
      <c r="N124">
        <f>2000+RIGHT(Table1[[#This Row],[Release Date]],2)</f>
        <v>2006</v>
      </c>
      <c r="O124">
        <f>_xlfn.MAXIFS(Table1[[#This Row],[Total Shipped]]:Table1[[#This Row],[Total Sales]],Table1[[#This Row],[Total Shipped]]:Table1[[#This Row],[Total Sales]],"&lt;&gt;#N/A")</f>
        <v>3.91</v>
      </c>
      <c r="P124">
        <f>_xlfn.MAXIFS(Table1[[#This Row],[VGChartz Score]:[User Score]],Table1[[#This Row],[VGChartz Score]:[User Score]],"&lt;&gt;#N/A")</f>
        <v>0</v>
      </c>
    </row>
    <row r="125" spans="1:16" hidden="1" x14ac:dyDescent="0.2">
      <c r="A125">
        <f t="shared" si="2"/>
        <v>124</v>
      </c>
      <c r="B125">
        <v>24</v>
      </c>
      <c r="C125" t="s">
        <v>138</v>
      </c>
      <c r="D125" t="s">
        <v>960</v>
      </c>
      <c r="E125" t="s">
        <v>916</v>
      </c>
      <c r="F125" t="s">
        <v>1</v>
      </c>
      <c r="G125">
        <v>9</v>
      </c>
      <c r="H125">
        <v>8.5</v>
      </c>
      <c r="I125" t="e">
        <v>#N/A</v>
      </c>
      <c r="J125" s="2">
        <v>3.88</v>
      </c>
      <c r="K125" s="2" t="e">
        <v>#N/A</v>
      </c>
      <c r="L125" t="s">
        <v>961</v>
      </c>
      <c r="M125" t="e">
        <v>#N/A</v>
      </c>
      <c r="N125">
        <f>2000+RIGHT(Table1[[#This Row],[Release Date]],2)</f>
        <v>2009</v>
      </c>
      <c r="O125">
        <f>_xlfn.MAXIFS(Table1[[#This Row],[Total Shipped]]:Table1[[#This Row],[Total Sales]],Table1[[#This Row],[Total Shipped]]:Table1[[#This Row],[Total Sales]],"&lt;&gt;#N/A")</f>
        <v>3.88</v>
      </c>
      <c r="P125">
        <f>_xlfn.MAXIFS(Table1[[#This Row],[VGChartz Score]:[User Score]],Table1[[#This Row],[VGChartz Score]:[User Score]],"&lt;&gt;#N/A")</f>
        <v>9</v>
      </c>
    </row>
    <row r="126" spans="1:16" hidden="1" x14ac:dyDescent="0.2">
      <c r="A126">
        <f t="shared" si="2"/>
        <v>125</v>
      </c>
      <c r="B126">
        <v>25</v>
      </c>
      <c r="C126" t="s">
        <v>138</v>
      </c>
      <c r="D126" t="s">
        <v>962</v>
      </c>
      <c r="E126" t="s">
        <v>916</v>
      </c>
      <c r="F126" t="s">
        <v>1</v>
      </c>
      <c r="G126" t="e">
        <v>#N/A</v>
      </c>
      <c r="H126" t="e">
        <v>#N/A</v>
      </c>
      <c r="I126" t="e">
        <v>#N/A</v>
      </c>
      <c r="J126" s="1">
        <v>3.76</v>
      </c>
      <c r="K126" s="1" t="e">
        <v>#N/A</v>
      </c>
      <c r="L126" t="s">
        <v>963</v>
      </c>
      <c r="M126" t="e">
        <v>#N/A</v>
      </c>
      <c r="N126">
        <f>2000+RIGHT(Table1[[#This Row],[Release Date]],2)</f>
        <v>2009</v>
      </c>
      <c r="O126">
        <f>_xlfn.MAXIFS(Table1[[#This Row],[Total Shipped]]:Table1[[#This Row],[Total Sales]],Table1[[#This Row],[Total Shipped]]:Table1[[#This Row],[Total Sales]],"&lt;&gt;#N/A")</f>
        <v>3.76</v>
      </c>
      <c r="P126">
        <f>_xlfn.MAXIFS(Table1[[#This Row],[VGChartz Score]:[User Score]],Table1[[#This Row],[VGChartz Score]:[User Score]],"&lt;&gt;#N/A")</f>
        <v>0</v>
      </c>
    </row>
    <row r="127" spans="1:16" hidden="1" x14ac:dyDescent="0.2">
      <c r="A127">
        <f t="shared" si="2"/>
        <v>126</v>
      </c>
      <c r="B127">
        <v>26</v>
      </c>
      <c r="C127" t="s">
        <v>138</v>
      </c>
      <c r="D127" t="s">
        <v>964</v>
      </c>
      <c r="E127" t="s">
        <v>916</v>
      </c>
      <c r="F127" t="s">
        <v>324</v>
      </c>
      <c r="G127" t="e">
        <v>#N/A</v>
      </c>
      <c r="H127">
        <v>6.7</v>
      </c>
      <c r="I127" t="e">
        <v>#N/A</v>
      </c>
      <c r="J127" s="2" t="e">
        <v>#N/A</v>
      </c>
      <c r="K127" s="2">
        <v>3.66</v>
      </c>
      <c r="L127" t="s">
        <v>965</v>
      </c>
      <c r="M127" t="e">
        <v>#N/A</v>
      </c>
      <c r="N127">
        <f>2000+RIGHT(Table1[[#This Row],[Release Date]],2)</f>
        <v>2007</v>
      </c>
      <c r="O127">
        <f>_xlfn.MAXIFS(Table1[[#This Row],[Total Shipped]]:Table1[[#This Row],[Total Sales]],Table1[[#This Row],[Total Shipped]]:Table1[[#This Row],[Total Sales]],"&lt;&gt;#N/A")</f>
        <v>3.66</v>
      </c>
      <c r="P127">
        <f>_xlfn.MAXIFS(Table1[[#This Row],[VGChartz Score]:[User Score]],Table1[[#This Row],[VGChartz Score]:[User Score]],"&lt;&gt;#N/A")</f>
        <v>6.7</v>
      </c>
    </row>
    <row r="128" spans="1:16" hidden="1" x14ac:dyDescent="0.2">
      <c r="A128">
        <f t="shared" si="2"/>
        <v>127</v>
      </c>
      <c r="B128">
        <v>27</v>
      </c>
      <c r="C128" t="s">
        <v>138</v>
      </c>
      <c r="D128" t="s">
        <v>966</v>
      </c>
      <c r="E128" t="s">
        <v>916</v>
      </c>
      <c r="F128" t="s">
        <v>945</v>
      </c>
      <c r="G128" t="e">
        <v>#N/A</v>
      </c>
      <c r="H128">
        <v>6.9</v>
      </c>
      <c r="I128" t="e">
        <v>#N/A</v>
      </c>
      <c r="J128" s="1" t="e">
        <v>#N/A</v>
      </c>
      <c r="K128" s="1">
        <v>3.58</v>
      </c>
      <c r="L128" t="s">
        <v>593</v>
      </c>
      <c r="M128" t="e">
        <v>#N/A</v>
      </c>
      <c r="N128">
        <f>2000+RIGHT(Table1[[#This Row],[Release Date]],2)</f>
        <v>2007</v>
      </c>
      <c r="O128">
        <f>_xlfn.MAXIFS(Table1[[#This Row],[Total Shipped]]:Table1[[#This Row],[Total Sales]],Table1[[#This Row],[Total Shipped]]:Table1[[#This Row],[Total Sales]],"&lt;&gt;#N/A")</f>
        <v>3.58</v>
      </c>
      <c r="P128">
        <f>_xlfn.MAXIFS(Table1[[#This Row],[VGChartz Score]:[User Score]],Table1[[#This Row],[VGChartz Score]:[User Score]],"&lt;&gt;#N/A")</f>
        <v>6.9</v>
      </c>
    </row>
    <row r="129" spans="1:16" hidden="1" x14ac:dyDescent="0.2">
      <c r="A129">
        <f t="shared" si="2"/>
        <v>128</v>
      </c>
      <c r="B129">
        <v>28</v>
      </c>
      <c r="C129" t="s">
        <v>138</v>
      </c>
      <c r="D129" t="s">
        <v>967</v>
      </c>
      <c r="E129" t="s">
        <v>916</v>
      </c>
      <c r="F129" t="s">
        <v>1</v>
      </c>
      <c r="G129" t="e">
        <v>#N/A</v>
      </c>
      <c r="H129">
        <v>6.3</v>
      </c>
      <c r="I129" t="e">
        <v>#N/A</v>
      </c>
      <c r="J129" s="2">
        <v>3.49</v>
      </c>
      <c r="K129" s="2" t="e">
        <v>#N/A</v>
      </c>
      <c r="L129" t="s">
        <v>968</v>
      </c>
      <c r="M129" t="e">
        <v>#N/A</v>
      </c>
      <c r="N129">
        <f>2000+RIGHT(Table1[[#This Row],[Release Date]],2)</f>
        <v>2006</v>
      </c>
      <c r="O129">
        <f>_xlfn.MAXIFS(Table1[[#This Row],[Total Shipped]]:Table1[[#This Row],[Total Sales]],Table1[[#This Row],[Total Shipped]]:Table1[[#This Row],[Total Sales]],"&lt;&gt;#N/A")</f>
        <v>3.49</v>
      </c>
      <c r="P129">
        <f>_xlfn.MAXIFS(Table1[[#This Row],[VGChartz Score]:[User Score]],Table1[[#This Row],[VGChartz Score]:[User Score]],"&lt;&gt;#N/A")</f>
        <v>6.3</v>
      </c>
    </row>
    <row r="130" spans="1:16" hidden="1" x14ac:dyDescent="0.2">
      <c r="A130">
        <f t="shared" si="2"/>
        <v>129</v>
      </c>
      <c r="B130">
        <v>29</v>
      </c>
      <c r="C130" t="s">
        <v>138</v>
      </c>
      <c r="D130" t="s">
        <v>969</v>
      </c>
      <c r="E130" t="s">
        <v>916</v>
      </c>
      <c r="F130" t="s">
        <v>240</v>
      </c>
      <c r="G130" t="e">
        <v>#N/A</v>
      </c>
      <c r="H130">
        <v>7.6</v>
      </c>
      <c r="I130" t="e">
        <v>#N/A</v>
      </c>
      <c r="J130" s="1" t="e">
        <v>#N/A</v>
      </c>
      <c r="K130" s="1">
        <v>3.47</v>
      </c>
      <c r="L130" t="s">
        <v>556</v>
      </c>
      <c r="M130" t="e">
        <v>#N/A</v>
      </c>
      <c r="N130">
        <f>2000+RIGHT(Table1[[#This Row],[Release Date]],2)</f>
        <v>2009</v>
      </c>
      <c r="O130">
        <f>_xlfn.MAXIFS(Table1[[#This Row],[Total Shipped]]:Table1[[#This Row],[Total Sales]],Table1[[#This Row],[Total Shipped]]:Table1[[#This Row],[Total Sales]],"&lt;&gt;#N/A")</f>
        <v>3.47</v>
      </c>
      <c r="P130">
        <f>_xlfn.MAXIFS(Table1[[#This Row],[VGChartz Score]:[User Score]],Table1[[#This Row],[VGChartz Score]:[User Score]],"&lt;&gt;#N/A")</f>
        <v>7.6</v>
      </c>
    </row>
    <row r="131" spans="1:16" hidden="1" x14ac:dyDescent="0.2">
      <c r="A131">
        <f t="shared" si="2"/>
        <v>130</v>
      </c>
      <c r="B131">
        <v>30</v>
      </c>
      <c r="C131" t="s">
        <v>138</v>
      </c>
      <c r="D131" t="s">
        <v>970</v>
      </c>
      <c r="E131" t="s">
        <v>916</v>
      </c>
      <c r="F131" t="s">
        <v>233</v>
      </c>
      <c r="G131" t="e">
        <v>#N/A</v>
      </c>
      <c r="H131">
        <v>7.1</v>
      </c>
      <c r="I131">
        <v>8.1</v>
      </c>
      <c r="J131" s="2" t="e">
        <v>#N/A</v>
      </c>
      <c r="K131" s="2">
        <v>3.46</v>
      </c>
      <c r="L131" t="s">
        <v>971</v>
      </c>
      <c r="M131" t="e">
        <v>#N/A</v>
      </c>
      <c r="N131">
        <f>2000+RIGHT(Table1[[#This Row],[Release Date]],2)</f>
        <v>2008</v>
      </c>
      <c r="O131">
        <f>_xlfn.MAXIFS(Table1[[#This Row],[Total Shipped]]:Table1[[#This Row],[Total Sales]],Table1[[#This Row],[Total Shipped]]:Table1[[#This Row],[Total Sales]],"&lt;&gt;#N/A")</f>
        <v>3.46</v>
      </c>
      <c r="P131">
        <f>_xlfn.MAXIFS(Table1[[#This Row],[VGChartz Score]:[User Score]],Table1[[#This Row],[VGChartz Score]:[User Score]],"&lt;&gt;#N/A")</f>
        <v>8.1</v>
      </c>
    </row>
    <row r="132" spans="1:16" hidden="1" x14ac:dyDescent="0.2">
      <c r="A132">
        <f t="shared" si="2"/>
        <v>131</v>
      </c>
      <c r="B132">
        <v>31</v>
      </c>
      <c r="C132" t="s">
        <v>138</v>
      </c>
      <c r="D132" t="s">
        <v>972</v>
      </c>
      <c r="E132" t="s">
        <v>916</v>
      </c>
      <c r="F132" t="s">
        <v>1</v>
      </c>
      <c r="G132" t="e">
        <v>#N/A</v>
      </c>
      <c r="H132">
        <v>8.1999999999999993</v>
      </c>
      <c r="I132" t="e">
        <v>#N/A</v>
      </c>
      <c r="J132" s="1">
        <v>3.36</v>
      </c>
      <c r="K132" s="1" t="e">
        <v>#N/A</v>
      </c>
      <c r="L132" t="s">
        <v>973</v>
      </c>
      <c r="M132" t="e">
        <v>#N/A</v>
      </c>
      <c r="N132">
        <f>2000+RIGHT(Table1[[#This Row],[Release Date]],2)</f>
        <v>2006</v>
      </c>
      <c r="O132">
        <f>_xlfn.MAXIFS(Table1[[#This Row],[Total Shipped]]:Table1[[#This Row],[Total Sales]],Table1[[#This Row],[Total Shipped]]:Table1[[#This Row],[Total Sales]],"&lt;&gt;#N/A")</f>
        <v>3.36</v>
      </c>
      <c r="P132">
        <f>_xlfn.MAXIFS(Table1[[#This Row],[VGChartz Score]:[User Score]],Table1[[#This Row],[VGChartz Score]:[User Score]],"&lt;&gt;#N/A")</f>
        <v>8.1999999999999993</v>
      </c>
    </row>
    <row r="133" spans="1:16" hidden="1" x14ac:dyDescent="0.2">
      <c r="A133">
        <f t="shared" si="2"/>
        <v>132</v>
      </c>
      <c r="B133">
        <v>32</v>
      </c>
      <c r="C133" t="s">
        <v>138</v>
      </c>
      <c r="D133" t="s">
        <v>974</v>
      </c>
      <c r="E133" t="s">
        <v>916</v>
      </c>
      <c r="F133" t="s">
        <v>1</v>
      </c>
      <c r="G133" t="e">
        <v>#N/A</v>
      </c>
      <c r="H133">
        <v>6.1</v>
      </c>
      <c r="I133" t="e">
        <v>#N/A</v>
      </c>
      <c r="J133" s="2">
        <v>3.23</v>
      </c>
      <c r="K133" s="2" t="e">
        <v>#N/A</v>
      </c>
      <c r="L133" t="s">
        <v>975</v>
      </c>
      <c r="M133" t="e">
        <v>#N/A</v>
      </c>
      <c r="N133">
        <f>2000+RIGHT(Table1[[#This Row],[Release Date]],2)</f>
        <v>2007</v>
      </c>
      <c r="O133">
        <f>_xlfn.MAXIFS(Table1[[#This Row],[Total Shipped]]:Table1[[#This Row],[Total Sales]],Table1[[#This Row],[Total Shipped]]:Table1[[#This Row],[Total Sales]],"&lt;&gt;#N/A")</f>
        <v>3.23</v>
      </c>
      <c r="P133">
        <f>_xlfn.MAXIFS(Table1[[#This Row],[VGChartz Score]:[User Score]],Table1[[#This Row],[VGChartz Score]:[User Score]],"&lt;&gt;#N/A")</f>
        <v>6.1</v>
      </c>
    </row>
    <row r="134" spans="1:16" hidden="1" x14ac:dyDescent="0.2">
      <c r="A134">
        <f t="shared" si="2"/>
        <v>133</v>
      </c>
      <c r="B134">
        <v>33</v>
      </c>
      <c r="C134" t="s">
        <v>138</v>
      </c>
      <c r="D134" t="s">
        <v>976</v>
      </c>
      <c r="E134" t="s">
        <v>916</v>
      </c>
      <c r="F134" t="s">
        <v>1</v>
      </c>
      <c r="G134" t="e">
        <v>#N/A</v>
      </c>
      <c r="H134">
        <v>8.4</v>
      </c>
      <c r="I134" t="e">
        <v>#N/A</v>
      </c>
      <c r="J134" s="1">
        <v>3.18</v>
      </c>
      <c r="K134" s="1" t="e">
        <v>#N/A</v>
      </c>
      <c r="L134" t="s">
        <v>977</v>
      </c>
      <c r="M134" t="e">
        <v>#N/A</v>
      </c>
      <c r="N134">
        <f>2000+RIGHT(Table1[[#This Row],[Release Date]],2)</f>
        <v>2008</v>
      </c>
      <c r="O134">
        <f>_xlfn.MAXIFS(Table1[[#This Row],[Total Shipped]]:Table1[[#This Row],[Total Sales]],Table1[[#This Row],[Total Shipped]]:Table1[[#This Row],[Total Sales]],"&lt;&gt;#N/A")</f>
        <v>3.18</v>
      </c>
      <c r="P134">
        <f>_xlfn.MAXIFS(Table1[[#This Row],[VGChartz Score]:[User Score]],Table1[[#This Row],[VGChartz Score]:[User Score]],"&lt;&gt;#N/A")</f>
        <v>8.4</v>
      </c>
    </row>
    <row r="135" spans="1:16" hidden="1" x14ac:dyDescent="0.2">
      <c r="A135">
        <f t="shared" si="2"/>
        <v>134</v>
      </c>
      <c r="B135">
        <v>34</v>
      </c>
      <c r="C135" t="s">
        <v>138</v>
      </c>
      <c r="D135" t="s">
        <v>978</v>
      </c>
      <c r="E135" t="s">
        <v>916</v>
      </c>
      <c r="F135" t="s">
        <v>979</v>
      </c>
      <c r="G135" t="e">
        <v>#N/A</v>
      </c>
      <c r="H135">
        <v>7</v>
      </c>
      <c r="I135" t="e">
        <v>#N/A</v>
      </c>
      <c r="J135" s="2" t="e">
        <v>#N/A</v>
      </c>
      <c r="K135" s="2">
        <v>3.14</v>
      </c>
      <c r="L135" t="s">
        <v>980</v>
      </c>
      <c r="M135" t="e">
        <v>#N/A</v>
      </c>
      <c r="N135">
        <f>2000+RIGHT(Table1[[#This Row],[Release Date]],2)</f>
        <v>2008</v>
      </c>
      <c r="O135">
        <f>_xlfn.MAXIFS(Table1[[#This Row],[Total Shipped]]:Table1[[#This Row],[Total Sales]],Table1[[#This Row],[Total Shipped]]:Table1[[#This Row],[Total Sales]],"&lt;&gt;#N/A")</f>
        <v>3.14</v>
      </c>
      <c r="P135">
        <f>_xlfn.MAXIFS(Table1[[#This Row],[VGChartz Score]:[User Score]],Table1[[#This Row],[VGChartz Score]:[User Score]],"&lt;&gt;#N/A")</f>
        <v>7</v>
      </c>
    </row>
    <row r="136" spans="1:16" hidden="1" x14ac:dyDescent="0.2">
      <c r="A136">
        <f t="shared" si="2"/>
        <v>135</v>
      </c>
      <c r="B136">
        <v>35</v>
      </c>
      <c r="C136" t="s">
        <v>138</v>
      </c>
      <c r="D136" t="s">
        <v>981</v>
      </c>
      <c r="E136" t="s">
        <v>916</v>
      </c>
      <c r="F136" t="s">
        <v>420</v>
      </c>
      <c r="G136" t="e">
        <v>#N/A</v>
      </c>
      <c r="H136">
        <v>7.8</v>
      </c>
      <c r="I136" t="e">
        <v>#N/A</v>
      </c>
      <c r="J136" s="1" t="e">
        <v>#N/A</v>
      </c>
      <c r="K136" s="1">
        <v>3.06</v>
      </c>
      <c r="L136" t="s">
        <v>982</v>
      </c>
      <c r="M136" t="e">
        <v>#N/A</v>
      </c>
      <c r="N136">
        <f>2000+RIGHT(Table1[[#This Row],[Release Date]],2)</f>
        <v>2008</v>
      </c>
      <c r="O136">
        <f>_xlfn.MAXIFS(Table1[[#This Row],[Total Shipped]]:Table1[[#This Row],[Total Sales]],Table1[[#This Row],[Total Shipped]]:Table1[[#This Row],[Total Sales]],"&lt;&gt;#N/A")</f>
        <v>3.06</v>
      </c>
      <c r="P136">
        <f>_xlfn.MAXIFS(Table1[[#This Row],[VGChartz Score]:[User Score]],Table1[[#This Row],[VGChartz Score]:[User Score]],"&lt;&gt;#N/A")</f>
        <v>7.8</v>
      </c>
    </row>
    <row r="137" spans="1:16" hidden="1" x14ac:dyDescent="0.2">
      <c r="A137">
        <f t="shared" si="2"/>
        <v>136</v>
      </c>
      <c r="B137">
        <v>36</v>
      </c>
      <c r="C137" t="s">
        <v>138</v>
      </c>
      <c r="D137" t="s">
        <v>983</v>
      </c>
      <c r="E137" t="s">
        <v>916</v>
      </c>
      <c r="F137" t="s">
        <v>1</v>
      </c>
      <c r="G137">
        <v>8.9</v>
      </c>
      <c r="H137">
        <v>8.5</v>
      </c>
      <c r="I137" t="e">
        <v>#N/A</v>
      </c>
      <c r="J137" s="2">
        <v>3.04</v>
      </c>
      <c r="K137" s="2" t="e">
        <v>#N/A</v>
      </c>
      <c r="L137" t="s">
        <v>984</v>
      </c>
      <c r="M137" t="s">
        <v>985</v>
      </c>
      <c r="N137">
        <f>2000+RIGHT(Table1[[#This Row],[Release Date]],2)</f>
        <v>2009</v>
      </c>
      <c r="O137">
        <f>_xlfn.MAXIFS(Table1[[#This Row],[Total Shipped]]:Table1[[#This Row],[Total Sales]],Table1[[#This Row],[Total Shipped]]:Table1[[#This Row],[Total Sales]],"&lt;&gt;#N/A")</f>
        <v>3.04</v>
      </c>
      <c r="P137">
        <f>_xlfn.MAXIFS(Table1[[#This Row],[VGChartz Score]:[User Score]],Table1[[#This Row],[VGChartz Score]:[User Score]],"&lt;&gt;#N/A")</f>
        <v>8.9</v>
      </c>
    </row>
    <row r="138" spans="1:16" hidden="1" x14ac:dyDescent="0.2">
      <c r="A138">
        <f t="shared" si="2"/>
        <v>137</v>
      </c>
      <c r="B138">
        <v>37</v>
      </c>
      <c r="C138" t="s">
        <v>138</v>
      </c>
      <c r="D138" t="s">
        <v>986</v>
      </c>
      <c r="E138" t="s">
        <v>916</v>
      </c>
      <c r="F138" t="s">
        <v>1</v>
      </c>
      <c r="G138">
        <v>9</v>
      </c>
      <c r="H138">
        <v>8.4</v>
      </c>
      <c r="I138" t="e">
        <v>#N/A</v>
      </c>
      <c r="J138" s="1">
        <v>3.02</v>
      </c>
      <c r="K138" s="1" t="e">
        <v>#N/A</v>
      </c>
      <c r="L138" t="s">
        <v>987</v>
      </c>
      <c r="M138" t="e">
        <v>#N/A</v>
      </c>
      <c r="N138">
        <f>2000+RIGHT(Table1[[#This Row],[Release Date]],2)</f>
        <v>2010</v>
      </c>
      <c r="O138">
        <f>_xlfn.MAXIFS(Table1[[#This Row],[Total Shipped]]:Table1[[#This Row],[Total Sales]],Table1[[#This Row],[Total Shipped]]:Table1[[#This Row],[Total Sales]],"&lt;&gt;#N/A")</f>
        <v>3.02</v>
      </c>
      <c r="P138">
        <f>_xlfn.MAXIFS(Table1[[#This Row],[VGChartz Score]:[User Score]],Table1[[#This Row],[VGChartz Score]:[User Score]],"&lt;&gt;#N/A")</f>
        <v>9</v>
      </c>
    </row>
    <row r="139" spans="1:16" hidden="1" x14ac:dyDescent="0.2">
      <c r="A139">
        <f t="shared" si="2"/>
        <v>138</v>
      </c>
      <c r="B139">
        <v>38</v>
      </c>
      <c r="C139" t="s">
        <v>138</v>
      </c>
      <c r="D139" t="s">
        <v>988</v>
      </c>
      <c r="E139" t="s">
        <v>916</v>
      </c>
      <c r="F139" t="s">
        <v>240</v>
      </c>
      <c r="G139" t="e">
        <v>#N/A</v>
      </c>
      <c r="H139">
        <v>7.8</v>
      </c>
      <c r="I139" t="e">
        <v>#N/A</v>
      </c>
      <c r="J139" s="2">
        <v>3</v>
      </c>
      <c r="K139" s="2" t="e">
        <v>#N/A</v>
      </c>
      <c r="L139" t="s">
        <v>809</v>
      </c>
      <c r="M139" t="e">
        <v>#N/A</v>
      </c>
      <c r="N139">
        <f>2000+RIGHT(Table1[[#This Row],[Release Date]],2)</f>
        <v>2005</v>
      </c>
      <c r="O139">
        <f>_xlfn.MAXIFS(Table1[[#This Row],[Total Shipped]]:Table1[[#This Row],[Total Sales]],Table1[[#This Row],[Total Shipped]]:Table1[[#This Row],[Total Sales]],"&lt;&gt;#N/A")</f>
        <v>3</v>
      </c>
      <c r="P139">
        <f>_xlfn.MAXIFS(Table1[[#This Row],[VGChartz Score]:[User Score]],Table1[[#This Row],[VGChartz Score]:[User Score]],"&lt;&gt;#N/A")</f>
        <v>7.8</v>
      </c>
    </row>
    <row r="140" spans="1:16" hidden="1" x14ac:dyDescent="0.2">
      <c r="A140">
        <f t="shared" si="2"/>
        <v>139</v>
      </c>
      <c r="B140">
        <v>39</v>
      </c>
      <c r="C140" t="s">
        <v>138</v>
      </c>
      <c r="D140" t="s">
        <v>989</v>
      </c>
      <c r="E140" t="s">
        <v>916</v>
      </c>
      <c r="F140" t="s">
        <v>1</v>
      </c>
      <c r="G140">
        <v>9</v>
      </c>
      <c r="H140">
        <v>7.3</v>
      </c>
      <c r="I140" t="e">
        <v>#N/A</v>
      </c>
      <c r="J140" s="1">
        <v>2.99</v>
      </c>
      <c r="K140" s="1" t="e">
        <v>#N/A</v>
      </c>
      <c r="L140" t="s">
        <v>990</v>
      </c>
      <c r="M140" t="e">
        <v>#N/A</v>
      </c>
      <c r="N140">
        <f>2000+RIGHT(Table1[[#This Row],[Release Date]],2)</f>
        <v>2008</v>
      </c>
      <c r="O140">
        <f>_xlfn.MAXIFS(Table1[[#This Row],[Total Shipped]]:Table1[[#This Row],[Total Sales]],Table1[[#This Row],[Total Shipped]]:Table1[[#This Row],[Total Sales]],"&lt;&gt;#N/A")</f>
        <v>2.99</v>
      </c>
      <c r="P140">
        <f>_xlfn.MAXIFS(Table1[[#This Row],[VGChartz Score]:[User Score]],Table1[[#This Row],[VGChartz Score]:[User Score]],"&lt;&gt;#N/A")</f>
        <v>9</v>
      </c>
    </row>
    <row r="141" spans="1:16" hidden="1" x14ac:dyDescent="0.2">
      <c r="A141">
        <f t="shared" si="2"/>
        <v>140</v>
      </c>
      <c r="B141">
        <v>40</v>
      </c>
      <c r="C141" t="s">
        <v>138</v>
      </c>
      <c r="D141" t="s">
        <v>991</v>
      </c>
      <c r="E141" t="s">
        <v>916</v>
      </c>
      <c r="F141" t="s">
        <v>1</v>
      </c>
      <c r="G141" t="e">
        <v>#N/A</v>
      </c>
      <c r="H141">
        <v>7.8</v>
      </c>
      <c r="I141" t="e">
        <v>#N/A</v>
      </c>
      <c r="J141" s="2">
        <v>2.98</v>
      </c>
      <c r="K141" s="2" t="e">
        <v>#N/A</v>
      </c>
      <c r="L141" t="s">
        <v>992</v>
      </c>
      <c r="M141" t="e">
        <v>#N/A</v>
      </c>
      <c r="N141">
        <f>2000+RIGHT(Table1[[#This Row],[Release Date]],2)</f>
        <v>2010</v>
      </c>
      <c r="O141">
        <f>_xlfn.MAXIFS(Table1[[#This Row],[Total Shipped]]:Table1[[#This Row],[Total Sales]],Table1[[#This Row],[Total Shipped]]:Table1[[#This Row],[Total Sales]],"&lt;&gt;#N/A")</f>
        <v>2.98</v>
      </c>
      <c r="P141">
        <f>_xlfn.MAXIFS(Table1[[#This Row],[VGChartz Score]:[User Score]],Table1[[#This Row],[VGChartz Score]:[User Score]],"&lt;&gt;#N/A")</f>
        <v>7.8</v>
      </c>
    </row>
    <row r="142" spans="1:16" hidden="1" x14ac:dyDescent="0.2">
      <c r="A142">
        <f t="shared" si="2"/>
        <v>141</v>
      </c>
      <c r="B142">
        <v>41</v>
      </c>
      <c r="C142" t="s">
        <v>138</v>
      </c>
      <c r="D142" t="s">
        <v>993</v>
      </c>
      <c r="E142" t="s">
        <v>916</v>
      </c>
      <c r="F142" t="s">
        <v>1</v>
      </c>
      <c r="G142" t="e">
        <v>#N/A</v>
      </c>
      <c r="H142">
        <v>7.6</v>
      </c>
      <c r="I142" t="e">
        <v>#N/A</v>
      </c>
      <c r="J142" s="1">
        <v>2.98</v>
      </c>
      <c r="K142" s="1" t="e">
        <v>#N/A</v>
      </c>
      <c r="L142" t="s">
        <v>994</v>
      </c>
      <c r="M142" t="e">
        <v>#N/A</v>
      </c>
      <c r="N142">
        <f>2000+RIGHT(Table1[[#This Row],[Release Date]],2)</f>
        <v>2009</v>
      </c>
      <c r="O142">
        <f>_xlfn.MAXIFS(Table1[[#This Row],[Total Shipped]]:Table1[[#This Row],[Total Sales]],Table1[[#This Row],[Total Shipped]]:Table1[[#This Row],[Total Sales]],"&lt;&gt;#N/A")</f>
        <v>2.98</v>
      </c>
      <c r="P142">
        <f>_xlfn.MAXIFS(Table1[[#This Row],[VGChartz Score]:[User Score]],Table1[[#This Row],[VGChartz Score]:[User Score]],"&lt;&gt;#N/A")</f>
        <v>7.6</v>
      </c>
    </row>
    <row r="143" spans="1:16" hidden="1" x14ac:dyDescent="0.2">
      <c r="A143">
        <f t="shared" si="2"/>
        <v>142</v>
      </c>
      <c r="B143">
        <v>42</v>
      </c>
      <c r="C143" t="s">
        <v>138</v>
      </c>
      <c r="D143" t="s">
        <v>995</v>
      </c>
      <c r="E143" t="s">
        <v>916</v>
      </c>
      <c r="F143" t="s">
        <v>1</v>
      </c>
      <c r="G143">
        <v>9</v>
      </c>
      <c r="H143">
        <v>8.6999999999999993</v>
      </c>
      <c r="I143" t="e">
        <v>#N/A</v>
      </c>
      <c r="J143" s="2">
        <v>2.96</v>
      </c>
      <c r="K143" s="2" t="e">
        <v>#N/A</v>
      </c>
      <c r="L143" t="s">
        <v>996</v>
      </c>
      <c r="M143" t="e">
        <v>#N/A</v>
      </c>
      <c r="N143">
        <f>2000+RIGHT(Table1[[#This Row],[Release Date]],2)</f>
        <v>2009</v>
      </c>
      <c r="O143">
        <f>_xlfn.MAXIFS(Table1[[#This Row],[Total Shipped]]:Table1[[#This Row],[Total Sales]],Table1[[#This Row],[Total Shipped]]:Table1[[#This Row],[Total Sales]],"&lt;&gt;#N/A")</f>
        <v>2.96</v>
      </c>
      <c r="P143">
        <f>_xlfn.MAXIFS(Table1[[#This Row],[VGChartz Score]:[User Score]],Table1[[#This Row],[VGChartz Score]:[User Score]],"&lt;&gt;#N/A")</f>
        <v>9</v>
      </c>
    </row>
    <row r="144" spans="1:16" hidden="1" x14ac:dyDescent="0.2">
      <c r="A144">
        <f t="shared" si="2"/>
        <v>143</v>
      </c>
      <c r="B144">
        <v>43</v>
      </c>
      <c r="C144" t="s">
        <v>138</v>
      </c>
      <c r="D144" t="s">
        <v>997</v>
      </c>
      <c r="E144" t="s">
        <v>916</v>
      </c>
      <c r="F144" t="s">
        <v>1</v>
      </c>
      <c r="G144" t="e">
        <v>#N/A</v>
      </c>
      <c r="H144">
        <v>6.6</v>
      </c>
      <c r="I144" t="e">
        <v>#N/A</v>
      </c>
      <c r="J144" s="1">
        <v>2.93</v>
      </c>
      <c r="K144" s="1" t="e">
        <v>#N/A</v>
      </c>
      <c r="L144" t="s">
        <v>998</v>
      </c>
      <c r="M144" t="e">
        <v>#N/A</v>
      </c>
      <c r="N144">
        <f>2000+RIGHT(Table1[[#This Row],[Release Date]],2)</f>
        <v>2006</v>
      </c>
      <c r="O144">
        <f>_xlfn.MAXIFS(Table1[[#This Row],[Total Shipped]]:Table1[[#This Row],[Total Sales]],Table1[[#This Row],[Total Shipped]]:Table1[[#This Row],[Total Sales]],"&lt;&gt;#N/A")</f>
        <v>2.93</v>
      </c>
      <c r="P144">
        <f>_xlfn.MAXIFS(Table1[[#This Row],[VGChartz Score]:[User Score]],Table1[[#This Row],[VGChartz Score]:[User Score]],"&lt;&gt;#N/A")</f>
        <v>6.6</v>
      </c>
    </row>
    <row r="145" spans="1:16" hidden="1" x14ac:dyDescent="0.2">
      <c r="A145">
        <f t="shared" si="2"/>
        <v>144</v>
      </c>
      <c r="B145">
        <v>44</v>
      </c>
      <c r="C145" t="s">
        <v>138</v>
      </c>
      <c r="D145" t="s">
        <v>999</v>
      </c>
      <c r="E145" t="s">
        <v>916</v>
      </c>
      <c r="F145" t="s">
        <v>151</v>
      </c>
      <c r="G145" t="e">
        <v>#N/A</v>
      </c>
      <c r="H145">
        <v>3.5</v>
      </c>
      <c r="I145" t="e">
        <v>#N/A</v>
      </c>
      <c r="J145" s="2" t="e">
        <v>#N/A</v>
      </c>
      <c r="K145" s="2">
        <v>2.87</v>
      </c>
      <c r="L145" t="s">
        <v>655</v>
      </c>
      <c r="M145" t="e">
        <v>#N/A</v>
      </c>
      <c r="N145">
        <f>2000+RIGHT(Table1[[#This Row],[Release Date]],2)</f>
        <v>2007</v>
      </c>
      <c r="O145">
        <f>_xlfn.MAXIFS(Table1[[#This Row],[Total Shipped]]:Table1[[#This Row],[Total Sales]],Table1[[#This Row],[Total Shipped]]:Table1[[#This Row],[Total Sales]],"&lt;&gt;#N/A")</f>
        <v>2.87</v>
      </c>
      <c r="P145">
        <f>_xlfn.MAXIFS(Table1[[#This Row],[VGChartz Score]:[User Score]],Table1[[#This Row],[VGChartz Score]:[User Score]],"&lt;&gt;#N/A")</f>
        <v>3.5</v>
      </c>
    </row>
    <row r="146" spans="1:16" hidden="1" x14ac:dyDescent="0.2">
      <c r="A146">
        <f t="shared" si="2"/>
        <v>145</v>
      </c>
      <c r="B146">
        <v>45</v>
      </c>
      <c r="C146" t="s">
        <v>138</v>
      </c>
      <c r="D146" t="s">
        <v>1000</v>
      </c>
      <c r="E146" t="s">
        <v>916</v>
      </c>
      <c r="F146" t="s">
        <v>151</v>
      </c>
      <c r="G146" t="e">
        <v>#N/A</v>
      </c>
      <c r="H146">
        <v>3</v>
      </c>
      <c r="I146" t="e">
        <v>#N/A</v>
      </c>
      <c r="J146" s="1" t="e">
        <v>#N/A</v>
      </c>
      <c r="K146" s="1">
        <v>2.81</v>
      </c>
      <c r="L146" t="s">
        <v>655</v>
      </c>
      <c r="M146" t="s">
        <v>1001</v>
      </c>
      <c r="N146">
        <f>2000+RIGHT(Table1[[#This Row],[Release Date]],2)</f>
        <v>2007</v>
      </c>
      <c r="O146">
        <f>_xlfn.MAXIFS(Table1[[#This Row],[Total Shipped]]:Table1[[#This Row],[Total Sales]],Table1[[#This Row],[Total Shipped]]:Table1[[#This Row],[Total Sales]],"&lt;&gt;#N/A")</f>
        <v>2.81</v>
      </c>
      <c r="P146">
        <f>_xlfn.MAXIFS(Table1[[#This Row],[VGChartz Score]:[User Score]],Table1[[#This Row],[VGChartz Score]:[User Score]],"&lt;&gt;#N/A")</f>
        <v>3</v>
      </c>
    </row>
    <row r="147" spans="1:16" hidden="1" x14ac:dyDescent="0.2">
      <c r="A147">
        <f t="shared" si="2"/>
        <v>146</v>
      </c>
      <c r="B147">
        <v>46</v>
      </c>
      <c r="C147" t="s">
        <v>138</v>
      </c>
      <c r="D147" t="s">
        <v>1002</v>
      </c>
      <c r="E147" t="s">
        <v>916</v>
      </c>
      <c r="F147" t="s">
        <v>1</v>
      </c>
      <c r="G147" t="e">
        <v>#N/A</v>
      </c>
      <c r="H147">
        <v>8.5</v>
      </c>
      <c r="I147" t="e">
        <v>#N/A</v>
      </c>
      <c r="J147" s="2">
        <v>2.74</v>
      </c>
      <c r="K147" s="2" t="e">
        <v>#N/A</v>
      </c>
      <c r="L147" t="s">
        <v>1003</v>
      </c>
      <c r="M147" t="e">
        <v>#N/A</v>
      </c>
      <c r="N147">
        <f>2000+RIGHT(Table1[[#This Row],[Release Date]],2)</f>
        <v>2006</v>
      </c>
      <c r="O147">
        <f>_xlfn.MAXIFS(Table1[[#This Row],[Total Shipped]]:Table1[[#This Row],[Total Sales]],Table1[[#This Row],[Total Shipped]]:Table1[[#This Row],[Total Sales]],"&lt;&gt;#N/A")</f>
        <v>2.74</v>
      </c>
      <c r="P147">
        <f>_xlfn.MAXIFS(Table1[[#This Row],[VGChartz Score]:[User Score]],Table1[[#This Row],[VGChartz Score]:[User Score]],"&lt;&gt;#N/A")</f>
        <v>8.5</v>
      </c>
    </row>
    <row r="148" spans="1:16" hidden="1" x14ac:dyDescent="0.2">
      <c r="A148">
        <f t="shared" si="2"/>
        <v>147</v>
      </c>
      <c r="B148">
        <v>47</v>
      </c>
      <c r="C148" t="s">
        <v>138</v>
      </c>
      <c r="D148" t="s">
        <v>1004</v>
      </c>
      <c r="E148" t="s">
        <v>916</v>
      </c>
      <c r="F148" t="s">
        <v>1005</v>
      </c>
      <c r="G148" t="e">
        <v>#N/A</v>
      </c>
      <c r="H148">
        <v>6.5</v>
      </c>
      <c r="I148" t="e">
        <v>#N/A</v>
      </c>
      <c r="J148" s="1" t="e">
        <v>#N/A</v>
      </c>
      <c r="K148" s="1">
        <v>2.65</v>
      </c>
      <c r="L148" t="s">
        <v>904</v>
      </c>
      <c r="M148" t="e">
        <v>#N/A</v>
      </c>
      <c r="N148">
        <f>2000+RIGHT(Table1[[#This Row],[Release Date]],2)</f>
        <v>2006</v>
      </c>
      <c r="O148">
        <f>_xlfn.MAXIFS(Table1[[#This Row],[Total Shipped]]:Table1[[#This Row],[Total Sales]],Table1[[#This Row],[Total Shipped]]:Table1[[#This Row],[Total Sales]],"&lt;&gt;#N/A")</f>
        <v>2.65</v>
      </c>
      <c r="P148">
        <f>_xlfn.MAXIFS(Table1[[#This Row],[VGChartz Score]:[User Score]],Table1[[#This Row],[VGChartz Score]:[User Score]],"&lt;&gt;#N/A")</f>
        <v>6.5</v>
      </c>
    </row>
    <row r="149" spans="1:16" hidden="1" x14ac:dyDescent="0.2">
      <c r="A149">
        <f t="shared" si="2"/>
        <v>148</v>
      </c>
      <c r="B149">
        <v>48</v>
      </c>
      <c r="C149" t="s">
        <v>138</v>
      </c>
      <c r="D149" t="s">
        <v>1006</v>
      </c>
      <c r="E149" t="s">
        <v>916</v>
      </c>
      <c r="F149" t="s">
        <v>1</v>
      </c>
      <c r="G149" t="e">
        <v>#N/A</v>
      </c>
      <c r="H149">
        <v>8.3000000000000007</v>
      </c>
      <c r="I149" t="e">
        <v>#N/A</v>
      </c>
      <c r="J149" s="2">
        <v>2.57</v>
      </c>
      <c r="K149" s="2" t="e">
        <v>#N/A</v>
      </c>
      <c r="L149" t="s">
        <v>1007</v>
      </c>
      <c r="M149" t="e">
        <v>#N/A</v>
      </c>
      <c r="N149">
        <f>2000+RIGHT(Table1[[#This Row],[Release Date]],2)</f>
        <v>2006</v>
      </c>
      <c r="O149">
        <f>_xlfn.MAXIFS(Table1[[#This Row],[Total Shipped]]:Table1[[#This Row],[Total Sales]],Table1[[#This Row],[Total Shipped]]:Table1[[#This Row],[Total Sales]],"&lt;&gt;#N/A")</f>
        <v>2.57</v>
      </c>
      <c r="P149">
        <f>_xlfn.MAXIFS(Table1[[#This Row],[VGChartz Score]:[User Score]],Table1[[#This Row],[VGChartz Score]:[User Score]],"&lt;&gt;#N/A")</f>
        <v>8.3000000000000007</v>
      </c>
    </row>
    <row r="150" spans="1:16" hidden="1" x14ac:dyDescent="0.2">
      <c r="A150">
        <f t="shared" ref="A150:A213" si="3">ROW()-1</f>
        <v>149</v>
      </c>
      <c r="B150">
        <v>49</v>
      </c>
      <c r="C150" t="s">
        <v>138</v>
      </c>
      <c r="D150" t="s">
        <v>1008</v>
      </c>
      <c r="E150" t="s">
        <v>916</v>
      </c>
      <c r="F150" t="s">
        <v>1</v>
      </c>
      <c r="G150" t="e">
        <v>#N/A</v>
      </c>
      <c r="H150">
        <v>7.8</v>
      </c>
      <c r="I150" t="e">
        <v>#N/A</v>
      </c>
      <c r="J150" s="1">
        <v>2.4700000000000002</v>
      </c>
      <c r="K150" s="1" t="e">
        <v>#N/A</v>
      </c>
      <c r="L150" t="s">
        <v>795</v>
      </c>
      <c r="M150" t="e">
        <v>#N/A</v>
      </c>
      <c r="N150">
        <f>2000+RIGHT(Table1[[#This Row],[Release Date]],2)</f>
        <v>2005</v>
      </c>
      <c r="O150">
        <f>_xlfn.MAXIFS(Table1[[#This Row],[Total Shipped]]:Table1[[#This Row],[Total Sales]],Table1[[#This Row],[Total Shipped]]:Table1[[#This Row],[Total Sales]],"&lt;&gt;#N/A")</f>
        <v>2.4700000000000002</v>
      </c>
      <c r="P150">
        <f>_xlfn.MAXIFS(Table1[[#This Row],[VGChartz Score]:[User Score]],Table1[[#This Row],[VGChartz Score]:[User Score]],"&lt;&gt;#N/A")</f>
        <v>7.8</v>
      </c>
    </row>
    <row r="151" spans="1:16" hidden="1" x14ac:dyDescent="0.2">
      <c r="A151">
        <f t="shared" si="3"/>
        <v>150</v>
      </c>
      <c r="B151">
        <v>50</v>
      </c>
      <c r="C151" t="s">
        <v>138</v>
      </c>
      <c r="D151" t="s">
        <v>1009</v>
      </c>
      <c r="E151" t="s">
        <v>916</v>
      </c>
      <c r="F151" t="s">
        <v>1</v>
      </c>
      <c r="G151" t="e">
        <v>#N/A</v>
      </c>
      <c r="H151">
        <v>6.7</v>
      </c>
      <c r="I151" t="e">
        <v>#N/A</v>
      </c>
      <c r="J151" s="2">
        <v>2.35</v>
      </c>
      <c r="K151" s="2" t="e">
        <v>#N/A</v>
      </c>
      <c r="L151" t="s">
        <v>578</v>
      </c>
      <c r="M151" t="e">
        <v>#N/A</v>
      </c>
      <c r="N151">
        <f>2000+RIGHT(Table1[[#This Row],[Release Date]],2)</f>
        <v>2008</v>
      </c>
      <c r="O151">
        <f>_xlfn.MAXIFS(Table1[[#This Row],[Total Shipped]]:Table1[[#This Row],[Total Sales]],Table1[[#This Row],[Total Shipped]]:Table1[[#This Row],[Total Sales]],"&lt;&gt;#N/A")</f>
        <v>2.35</v>
      </c>
      <c r="P151">
        <f>_xlfn.MAXIFS(Table1[[#This Row],[VGChartz Score]:[User Score]],Table1[[#This Row],[VGChartz Score]:[User Score]],"&lt;&gt;#N/A")</f>
        <v>6.7</v>
      </c>
    </row>
    <row r="152" spans="1:16" hidden="1" x14ac:dyDescent="0.2">
      <c r="A152">
        <f t="shared" si="3"/>
        <v>151</v>
      </c>
      <c r="B152">
        <v>51</v>
      </c>
      <c r="C152" t="s">
        <v>138</v>
      </c>
      <c r="D152" t="s">
        <v>1010</v>
      </c>
      <c r="E152" t="s">
        <v>916</v>
      </c>
      <c r="F152" t="s">
        <v>1</v>
      </c>
      <c r="G152" t="e">
        <v>#N/A</v>
      </c>
      <c r="H152">
        <v>6.8</v>
      </c>
      <c r="I152" t="e">
        <v>#N/A</v>
      </c>
      <c r="J152" s="1">
        <v>2.33</v>
      </c>
      <c r="K152" s="1" t="e">
        <v>#N/A</v>
      </c>
      <c r="L152" t="s">
        <v>1011</v>
      </c>
      <c r="M152" t="e">
        <v>#N/A</v>
      </c>
      <c r="N152">
        <f>2000+RIGHT(Table1[[#This Row],[Release Date]],2)</f>
        <v>2010</v>
      </c>
      <c r="O152">
        <f>_xlfn.MAXIFS(Table1[[#This Row],[Total Shipped]]:Table1[[#This Row],[Total Sales]],Table1[[#This Row],[Total Shipped]]:Table1[[#This Row],[Total Sales]],"&lt;&gt;#N/A")</f>
        <v>2.33</v>
      </c>
      <c r="P152">
        <f>_xlfn.MAXIFS(Table1[[#This Row],[VGChartz Score]:[User Score]],Table1[[#This Row],[VGChartz Score]:[User Score]],"&lt;&gt;#N/A")</f>
        <v>6.8</v>
      </c>
    </row>
    <row r="153" spans="1:16" hidden="1" x14ac:dyDescent="0.2">
      <c r="A153">
        <f t="shared" si="3"/>
        <v>152</v>
      </c>
      <c r="B153">
        <v>52</v>
      </c>
      <c r="C153" t="s">
        <v>138</v>
      </c>
      <c r="D153" t="s">
        <v>1012</v>
      </c>
      <c r="E153" t="s">
        <v>916</v>
      </c>
      <c r="F153" t="s">
        <v>254</v>
      </c>
      <c r="G153" t="e">
        <v>#N/A</v>
      </c>
      <c r="H153">
        <v>7.4</v>
      </c>
      <c r="I153" t="e">
        <v>#N/A</v>
      </c>
      <c r="J153" s="2">
        <v>2.2999999999999998</v>
      </c>
      <c r="K153" s="2" t="e">
        <v>#N/A</v>
      </c>
      <c r="L153" t="s">
        <v>606</v>
      </c>
      <c r="M153" t="e">
        <v>#N/A</v>
      </c>
      <c r="N153">
        <f>2000+RIGHT(Table1[[#This Row],[Release Date]],2)</f>
        <v>2006</v>
      </c>
      <c r="O153">
        <f>_xlfn.MAXIFS(Table1[[#This Row],[Total Shipped]]:Table1[[#This Row],[Total Sales]],Table1[[#This Row],[Total Shipped]]:Table1[[#This Row],[Total Sales]],"&lt;&gt;#N/A")</f>
        <v>2.2999999999999998</v>
      </c>
      <c r="P153">
        <f>_xlfn.MAXIFS(Table1[[#This Row],[VGChartz Score]:[User Score]],Table1[[#This Row],[VGChartz Score]:[User Score]],"&lt;&gt;#N/A")</f>
        <v>7.4</v>
      </c>
    </row>
    <row r="154" spans="1:16" hidden="1" x14ac:dyDescent="0.2">
      <c r="A154">
        <f t="shared" si="3"/>
        <v>153</v>
      </c>
      <c r="B154">
        <v>53</v>
      </c>
      <c r="C154" t="s">
        <v>138</v>
      </c>
      <c r="D154" t="s">
        <v>1013</v>
      </c>
      <c r="E154" t="s">
        <v>916</v>
      </c>
      <c r="F154" t="s">
        <v>420</v>
      </c>
      <c r="G154" t="e">
        <v>#N/A</v>
      </c>
      <c r="H154">
        <v>8</v>
      </c>
      <c r="I154" t="e">
        <v>#N/A</v>
      </c>
      <c r="J154" s="1" t="e">
        <v>#N/A</v>
      </c>
      <c r="K154" s="1">
        <v>2.29</v>
      </c>
      <c r="L154" t="s">
        <v>1014</v>
      </c>
      <c r="M154" t="s">
        <v>1015</v>
      </c>
      <c r="N154">
        <f>2000+RIGHT(Table1[[#This Row],[Release Date]],2)</f>
        <v>2010</v>
      </c>
      <c r="O154">
        <f>_xlfn.MAXIFS(Table1[[#This Row],[Total Shipped]]:Table1[[#This Row],[Total Sales]],Table1[[#This Row],[Total Shipped]]:Table1[[#This Row],[Total Sales]],"&lt;&gt;#N/A")</f>
        <v>2.29</v>
      </c>
      <c r="P154">
        <f>_xlfn.MAXIFS(Table1[[#This Row],[VGChartz Score]:[User Score]],Table1[[#This Row],[VGChartz Score]:[User Score]],"&lt;&gt;#N/A")</f>
        <v>8</v>
      </c>
    </row>
    <row r="155" spans="1:16" hidden="1" x14ac:dyDescent="0.2">
      <c r="A155">
        <f t="shared" si="3"/>
        <v>154</v>
      </c>
      <c r="B155">
        <v>54</v>
      </c>
      <c r="C155" t="s">
        <v>138</v>
      </c>
      <c r="D155" t="s">
        <v>1016</v>
      </c>
      <c r="E155" t="s">
        <v>916</v>
      </c>
      <c r="F155" t="s">
        <v>1</v>
      </c>
      <c r="G155" t="e">
        <v>#N/A</v>
      </c>
      <c r="H155">
        <v>7.3</v>
      </c>
      <c r="I155" t="e">
        <v>#N/A</v>
      </c>
      <c r="J155" s="2">
        <v>2.27</v>
      </c>
      <c r="K155" s="2" t="e">
        <v>#N/A</v>
      </c>
      <c r="L155" t="s">
        <v>1017</v>
      </c>
      <c r="M155" t="e">
        <v>#N/A</v>
      </c>
      <c r="N155">
        <f>2000+RIGHT(Table1[[#This Row],[Release Date]],2)</f>
        <v>2006</v>
      </c>
      <c r="O155">
        <f>_xlfn.MAXIFS(Table1[[#This Row],[Total Shipped]]:Table1[[#This Row],[Total Sales]],Table1[[#This Row],[Total Shipped]]:Table1[[#This Row],[Total Sales]],"&lt;&gt;#N/A")</f>
        <v>2.27</v>
      </c>
      <c r="P155">
        <f>_xlfn.MAXIFS(Table1[[#This Row],[VGChartz Score]:[User Score]],Table1[[#This Row],[VGChartz Score]:[User Score]],"&lt;&gt;#N/A")</f>
        <v>7.3</v>
      </c>
    </row>
    <row r="156" spans="1:16" hidden="1" x14ac:dyDescent="0.2">
      <c r="A156">
        <f t="shared" si="3"/>
        <v>155</v>
      </c>
      <c r="B156">
        <v>55</v>
      </c>
      <c r="C156" t="s">
        <v>138</v>
      </c>
      <c r="D156" t="s">
        <v>1018</v>
      </c>
      <c r="E156" t="s">
        <v>916</v>
      </c>
      <c r="F156" t="s">
        <v>675</v>
      </c>
      <c r="G156" t="e">
        <v>#N/A</v>
      </c>
      <c r="H156" t="e">
        <v>#N/A</v>
      </c>
      <c r="I156" t="e">
        <v>#N/A</v>
      </c>
      <c r="J156" s="1" t="e">
        <v>#N/A</v>
      </c>
      <c r="K156" s="1">
        <v>2.2000000000000002</v>
      </c>
      <c r="L156" t="s">
        <v>1019</v>
      </c>
      <c r="M156" t="e">
        <v>#N/A</v>
      </c>
      <c r="N156">
        <f>2000+RIGHT(Table1[[#This Row],[Release Date]],2)</f>
        <v>2008</v>
      </c>
      <c r="O156">
        <f>_xlfn.MAXIFS(Table1[[#This Row],[Total Shipped]]:Table1[[#This Row],[Total Sales]],Table1[[#This Row],[Total Shipped]]:Table1[[#This Row],[Total Sales]],"&lt;&gt;#N/A")</f>
        <v>2.2000000000000002</v>
      </c>
      <c r="P156">
        <f>_xlfn.MAXIFS(Table1[[#This Row],[VGChartz Score]:[User Score]],Table1[[#This Row],[VGChartz Score]:[User Score]],"&lt;&gt;#N/A")</f>
        <v>0</v>
      </c>
    </row>
    <row r="157" spans="1:16" hidden="1" x14ac:dyDescent="0.2">
      <c r="A157">
        <f t="shared" si="3"/>
        <v>156</v>
      </c>
      <c r="B157">
        <v>56</v>
      </c>
      <c r="C157" t="s">
        <v>138</v>
      </c>
      <c r="D157" t="s">
        <v>1020</v>
      </c>
      <c r="E157" t="s">
        <v>916</v>
      </c>
      <c r="F157" t="s">
        <v>979</v>
      </c>
      <c r="G157" t="e">
        <v>#N/A</v>
      </c>
      <c r="H157">
        <v>7.3</v>
      </c>
      <c r="I157" t="e">
        <v>#N/A</v>
      </c>
      <c r="J157" s="2" t="e">
        <v>#N/A</v>
      </c>
      <c r="K157" s="2">
        <v>2.2000000000000002</v>
      </c>
      <c r="L157" t="s">
        <v>1021</v>
      </c>
      <c r="M157" t="e">
        <v>#N/A</v>
      </c>
      <c r="N157">
        <f>2000+RIGHT(Table1[[#This Row],[Release Date]],2)</f>
        <v>2007</v>
      </c>
      <c r="O157">
        <f>_xlfn.MAXIFS(Table1[[#This Row],[Total Shipped]]:Table1[[#This Row],[Total Sales]],Table1[[#This Row],[Total Shipped]]:Table1[[#This Row],[Total Sales]],"&lt;&gt;#N/A")</f>
        <v>2.2000000000000002</v>
      </c>
      <c r="P157">
        <f>_xlfn.MAXIFS(Table1[[#This Row],[VGChartz Score]:[User Score]],Table1[[#This Row],[VGChartz Score]:[User Score]],"&lt;&gt;#N/A")</f>
        <v>7.3</v>
      </c>
    </row>
    <row r="158" spans="1:16" hidden="1" x14ac:dyDescent="0.2">
      <c r="A158">
        <f t="shared" si="3"/>
        <v>157</v>
      </c>
      <c r="B158">
        <v>57</v>
      </c>
      <c r="C158" t="s">
        <v>138</v>
      </c>
      <c r="D158" t="s">
        <v>1022</v>
      </c>
      <c r="E158" t="s">
        <v>916</v>
      </c>
      <c r="F158" t="s">
        <v>1023</v>
      </c>
      <c r="G158" t="e">
        <v>#N/A</v>
      </c>
      <c r="H158" t="e">
        <v>#N/A</v>
      </c>
      <c r="I158" t="e">
        <v>#N/A</v>
      </c>
      <c r="J158" s="1">
        <v>2.15</v>
      </c>
      <c r="K158" s="1" t="e">
        <v>#N/A</v>
      </c>
      <c r="L158" t="s">
        <v>1024</v>
      </c>
      <c r="M158" t="s">
        <v>166</v>
      </c>
      <c r="N158">
        <f>2000+RIGHT(Table1[[#This Row],[Release Date]],2)</f>
        <v>2010</v>
      </c>
      <c r="O158">
        <f>_xlfn.MAXIFS(Table1[[#This Row],[Total Shipped]]:Table1[[#This Row],[Total Sales]],Table1[[#This Row],[Total Shipped]]:Table1[[#This Row],[Total Sales]],"&lt;&gt;#N/A")</f>
        <v>2.15</v>
      </c>
      <c r="P158">
        <f>_xlfn.MAXIFS(Table1[[#This Row],[VGChartz Score]:[User Score]],Table1[[#This Row],[VGChartz Score]:[User Score]],"&lt;&gt;#N/A")</f>
        <v>0</v>
      </c>
    </row>
    <row r="159" spans="1:16" hidden="1" x14ac:dyDescent="0.2">
      <c r="A159">
        <f t="shared" si="3"/>
        <v>158</v>
      </c>
      <c r="B159">
        <v>58</v>
      </c>
      <c r="C159" t="s">
        <v>138</v>
      </c>
      <c r="D159" t="s">
        <v>1025</v>
      </c>
      <c r="E159" t="s">
        <v>916</v>
      </c>
      <c r="F159" t="s">
        <v>324</v>
      </c>
      <c r="G159" t="e">
        <v>#N/A</v>
      </c>
      <c r="H159">
        <v>4.8</v>
      </c>
      <c r="I159" t="e">
        <v>#N/A</v>
      </c>
      <c r="J159" s="2" t="e">
        <v>#N/A</v>
      </c>
      <c r="K159" s="2">
        <v>2.0699999999999998</v>
      </c>
      <c r="L159" t="s">
        <v>1026</v>
      </c>
      <c r="M159" t="e">
        <v>#N/A</v>
      </c>
      <c r="N159">
        <f>2000+RIGHT(Table1[[#This Row],[Release Date]],2)</f>
        <v>2006</v>
      </c>
      <c r="O159">
        <f>_xlfn.MAXIFS(Table1[[#This Row],[Total Shipped]]:Table1[[#This Row],[Total Sales]],Table1[[#This Row],[Total Shipped]]:Table1[[#This Row],[Total Sales]],"&lt;&gt;#N/A")</f>
        <v>2.0699999999999998</v>
      </c>
      <c r="P159">
        <f>_xlfn.MAXIFS(Table1[[#This Row],[VGChartz Score]:[User Score]],Table1[[#This Row],[VGChartz Score]:[User Score]],"&lt;&gt;#N/A")</f>
        <v>4.8</v>
      </c>
    </row>
    <row r="160" spans="1:16" hidden="1" x14ac:dyDescent="0.2">
      <c r="A160">
        <f t="shared" si="3"/>
        <v>159</v>
      </c>
      <c r="B160">
        <v>59</v>
      </c>
      <c r="C160" t="s">
        <v>138</v>
      </c>
      <c r="D160" t="s">
        <v>1027</v>
      </c>
      <c r="E160" t="s">
        <v>916</v>
      </c>
      <c r="F160" t="s">
        <v>1</v>
      </c>
      <c r="G160">
        <v>8.8000000000000007</v>
      </c>
      <c r="H160">
        <v>8.4</v>
      </c>
      <c r="I160" t="e">
        <v>#N/A</v>
      </c>
      <c r="J160" s="1">
        <v>2.06</v>
      </c>
      <c r="K160" s="1" t="e">
        <v>#N/A</v>
      </c>
      <c r="L160" t="s">
        <v>1028</v>
      </c>
      <c r="M160" t="e">
        <v>#N/A</v>
      </c>
      <c r="N160">
        <f>2000+RIGHT(Table1[[#This Row],[Release Date]],2)</f>
        <v>2011</v>
      </c>
      <c r="O160">
        <f>_xlfn.MAXIFS(Table1[[#This Row],[Total Shipped]]:Table1[[#This Row],[Total Sales]],Table1[[#This Row],[Total Shipped]]:Table1[[#This Row],[Total Sales]],"&lt;&gt;#N/A")</f>
        <v>2.06</v>
      </c>
      <c r="P160">
        <f>_xlfn.MAXIFS(Table1[[#This Row],[VGChartz Score]:[User Score]],Table1[[#This Row],[VGChartz Score]:[User Score]],"&lt;&gt;#N/A")</f>
        <v>8.8000000000000007</v>
      </c>
    </row>
    <row r="161" spans="1:16" hidden="1" x14ac:dyDescent="0.2">
      <c r="A161">
        <f t="shared" si="3"/>
        <v>160</v>
      </c>
      <c r="B161">
        <v>60</v>
      </c>
      <c r="C161" t="s">
        <v>138</v>
      </c>
      <c r="D161" t="s">
        <v>1029</v>
      </c>
      <c r="E161" t="s">
        <v>916</v>
      </c>
      <c r="F161" t="s">
        <v>979</v>
      </c>
      <c r="G161" t="e">
        <v>#N/A</v>
      </c>
      <c r="H161" t="e">
        <v>#N/A</v>
      </c>
      <c r="I161" t="e">
        <v>#N/A</v>
      </c>
      <c r="J161" s="2" t="e">
        <v>#N/A</v>
      </c>
      <c r="K161" s="2">
        <v>2.06</v>
      </c>
      <c r="L161" t="s">
        <v>1030</v>
      </c>
      <c r="M161" t="e">
        <v>#N/A</v>
      </c>
      <c r="N161">
        <f>2000+RIGHT(Table1[[#This Row],[Release Date]],2)</f>
        <v>2010</v>
      </c>
      <c r="O161">
        <f>_xlfn.MAXIFS(Table1[[#This Row],[Total Shipped]]:Table1[[#This Row],[Total Sales]],Table1[[#This Row],[Total Shipped]]:Table1[[#This Row],[Total Sales]],"&lt;&gt;#N/A")</f>
        <v>2.06</v>
      </c>
      <c r="P161">
        <f>_xlfn.MAXIFS(Table1[[#This Row],[VGChartz Score]:[User Score]],Table1[[#This Row],[VGChartz Score]:[User Score]],"&lt;&gt;#N/A")</f>
        <v>0</v>
      </c>
    </row>
    <row r="162" spans="1:16" hidden="1" x14ac:dyDescent="0.2">
      <c r="A162">
        <f t="shared" si="3"/>
        <v>161</v>
      </c>
      <c r="B162">
        <v>61</v>
      </c>
      <c r="C162" t="s">
        <v>138</v>
      </c>
      <c r="D162" t="s">
        <v>1031</v>
      </c>
      <c r="E162" t="s">
        <v>916</v>
      </c>
      <c r="F162" t="s">
        <v>1032</v>
      </c>
      <c r="G162" t="e">
        <v>#N/A</v>
      </c>
      <c r="H162" t="e">
        <v>#N/A</v>
      </c>
      <c r="I162" t="e">
        <v>#N/A</v>
      </c>
      <c r="J162" s="1" t="e">
        <v>#N/A</v>
      </c>
      <c r="K162" s="1">
        <v>2.04</v>
      </c>
      <c r="L162" t="s">
        <v>1033</v>
      </c>
      <c r="M162" t="e">
        <v>#N/A</v>
      </c>
      <c r="N162">
        <f>2000+RIGHT(Table1[[#This Row],[Release Date]],2)</f>
        <v>2008</v>
      </c>
      <c r="O162">
        <f>_xlfn.MAXIFS(Table1[[#This Row],[Total Shipped]]:Table1[[#This Row],[Total Sales]],Table1[[#This Row],[Total Shipped]]:Table1[[#This Row],[Total Sales]],"&lt;&gt;#N/A")</f>
        <v>2.04</v>
      </c>
      <c r="P162">
        <f>_xlfn.MAXIFS(Table1[[#This Row],[VGChartz Score]:[User Score]],Table1[[#This Row],[VGChartz Score]:[User Score]],"&lt;&gt;#N/A")</f>
        <v>0</v>
      </c>
    </row>
    <row r="163" spans="1:16" hidden="1" x14ac:dyDescent="0.2">
      <c r="A163">
        <f t="shared" si="3"/>
        <v>162</v>
      </c>
      <c r="B163">
        <v>62</v>
      </c>
      <c r="C163" t="s">
        <v>138</v>
      </c>
      <c r="D163" t="s">
        <v>1034</v>
      </c>
      <c r="E163" t="s">
        <v>916</v>
      </c>
      <c r="F163" t="s">
        <v>1</v>
      </c>
      <c r="G163" t="e">
        <v>#N/A</v>
      </c>
      <c r="H163">
        <v>7.1</v>
      </c>
      <c r="I163" t="e">
        <v>#N/A</v>
      </c>
      <c r="J163" s="2">
        <v>2.0299999999999998</v>
      </c>
      <c r="K163" s="2" t="e">
        <v>#N/A</v>
      </c>
      <c r="L163" t="s">
        <v>1035</v>
      </c>
      <c r="M163" t="e">
        <v>#N/A</v>
      </c>
      <c r="N163">
        <f>2000+RIGHT(Table1[[#This Row],[Release Date]],2)</f>
        <v>2006</v>
      </c>
      <c r="O163">
        <f>_xlfn.MAXIFS(Table1[[#This Row],[Total Shipped]]:Table1[[#This Row],[Total Sales]],Table1[[#This Row],[Total Shipped]]:Table1[[#This Row],[Total Sales]],"&lt;&gt;#N/A")</f>
        <v>2.0299999999999998</v>
      </c>
      <c r="P163">
        <f>_xlfn.MAXIFS(Table1[[#This Row],[VGChartz Score]:[User Score]],Table1[[#This Row],[VGChartz Score]:[User Score]],"&lt;&gt;#N/A")</f>
        <v>7.1</v>
      </c>
    </row>
    <row r="164" spans="1:16" hidden="1" x14ac:dyDescent="0.2">
      <c r="A164">
        <f t="shared" si="3"/>
        <v>163</v>
      </c>
      <c r="B164">
        <v>63</v>
      </c>
      <c r="C164" t="s">
        <v>138</v>
      </c>
      <c r="D164" t="s">
        <v>1036</v>
      </c>
      <c r="E164" t="s">
        <v>916</v>
      </c>
      <c r="F164" t="s">
        <v>1</v>
      </c>
      <c r="G164" t="e">
        <v>#N/A</v>
      </c>
      <c r="H164">
        <v>8.1</v>
      </c>
      <c r="I164" t="e">
        <v>#N/A</v>
      </c>
      <c r="J164" s="1">
        <v>2</v>
      </c>
      <c r="K164" s="1" t="e">
        <v>#N/A</v>
      </c>
      <c r="L164" t="s">
        <v>1037</v>
      </c>
      <c r="M164" t="e">
        <v>#N/A</v>
      </c>
      <c r="N164">
        <f>2000+RIGHT(Table1[[#This Row],[Release Date]],2)</f>
        <v>2011</v>
      </c>
      <c r="O164">
        <f>_xlfn.MAXIFS(Table1[[#This Row],[Total Shipped]]:Table1[[#This Row],[Total Sales]],Table1[[#This Row],[Total Shipped]]:Table1[[#This Row],[Total Sales]],"&lt;&gt;#N/A")</f>
        <v>2</v>
      </c>
      <c r="P164">
        <f>_xlfn.MAXIFS(Table1[[#This Row],[VGChartz Score]:[User Score]],Table1[[#This Row],[VGChartz Score]:[User Score]],"&lt;&gt;#N/A")</f>
        <v>8.1</v>
      </c>
    </row>
    <row r="165" spans="1:16" hidden="1" x14ac:dyDescent="0.2">
      <c r="A165">
        <f t="shared" si="3"/>
        <v>164</v>
      </c>
      <c r="B165">
        <v>64</v>
      </c>
      <c r="C165" t="s">
        <v>138</v>
      </c>
      <c r="D165" t="s">
        <v>1038</v>
      </c>
      <c r="E165" t="s">
        <v>916</v>
      </c>
      <c r="F165" t="s">
        <v>707</v>
      </c>
      <c r="G165" t="e">
        <v>#N/A</v>
      </c>
      <c r="H165">
        <v>6.9</v>
      </c>
      <c r="I165" t="e">
        <v>#N/A</v>
      </c>
      <c r="J165" s="2" t="e">
        <v>#N/A</v>
      </c>
      <c r="K165" s="2">
        <v>2</v>
      </c>
      <c r="L165" t="s">
        <v>1039</v>
      </c>
      <c r="M165" t="e">
        <v>#N/A</v>
      </c>
      <c r="N165">
        <f>2000+RIGHT(Table1[[#This Row],[Release Date]],2)</f>
        <v>2007</v>
      </c>
      <c r="O165">
        <f>_xlfn.MAXIFS(Table1[[#This Row],[Total Shipped]]:Table1[[#This Row],[Total Sales]],Table1[[#This Row],[Total Shipped]]:Table1[[#This Row],[Total Sales]],"&lt;&gt;#N/A")</f>
        <v>2</v>
      </c>
      <c r="P165">
        <f>_xlfn.MAXIFS(Table1[[#This Row],[VGChartz Score]:[User Score]],Table1[[#This Row],[VGChartz Score]:[User Score]],"&lt;&gt;#N/A")</f>
        <v>6.9</v>
      </c>
    </row>
    <row r="166" spans="1:16" hidden="1" x14ac:dyDescent="0.2">
      <c r="A166">
        <f t="shared" si="3"/>
        <v>165</v>
      </c>
      <c r="B166">
        <v>65</v>
      </c>
      <c r="C166" t="s">
        <v>138</v>
      </c>
      <c r="D166" t="s">
        <v>1040</v>
      </c>
      <c r="E166" t="s">
        <v>916</v>
      </c>
      <c r="F166" t="s">
        <v>1023</v>
      </c>
      <c r="G166" t="e">
        <v>#N/A</v>
      </c>
      <c r="H166" t="e">
        <v>#N/A</v>
      </c>
      <c r="I166" t="e">
        <v>#N/A</v>
      </c>
      <c r="J166" s="1">
        <v>1.96</v>
      </c>
      <c r="K166" s="1" t="e">
        <v>#N/A</v>
      </c>
      <c r="L166" t="s">
        <v>1041</v>
      </c>
      <c r="M166" t="s">
        <v>1042</v>
      </c>
      <c r="N166">
        <f>2000+RIGHT(Table1[[#This Row],[Release Date]],2)</f>
        <v>2009</v>
      </c>
      <c r="O166">
        <f>_xlfn.MAXIFS(Table1[[#This Row],[Total Shipped]]:Table1[[#This Row],[Total Sales]],Table1[[#This Row],[Total Shipped]]:Table1[[#This Row],[Total Sales]],"&lt;&gt;#N/A")</f>
        <v>1.96</v>
      </c>
      <c r="P166">
        <f>_xlfn.MAXIFS(Table1[[#This Row],[VGChartz Score]:[User Score]],Table1[[#This Row],[VGChartz Score]:[User Score]],"&lt;&gt;#N/A")</f>
        <v>0</v>
      </c>
    </row>
    <row r="167" spans="1:16" hidden="1" x14ac:dyDescent="0.2">
      <c r="A167">
        <f t="shared" si="3"/>
        <v>166</v>
      </c>
      <c r="B167">
        <v>66</v>
      </c>
      <c r="C167" t="s">
        <v>138</v>
      </c>
      <c r="D167" t="s">
        <v>1043</v>
      </c>
      <c r="E167" t="s">
        <v>916</v>
      </c>
      <c r="F167" t="s">
        <v>254</v>
      </c>
      <c r="G167" t="e">
        <v>#N/A</v>
      </c>
      <c r="H167">
        <v>7.6</v>
      </c>
      <c r="I167" t="e">
        <v>#N/A</v>
      </c>
      <c r="J167" s="2">
        <v>1.9</v>
      </c>
      <c r="K167" s="2" t="e">
        <v>#N/A</v>
      </c>
      <c r="L167" t="s">
        <v>676</v>
      </c>
      <c r="M167" t="e">
        <v>#N/A</v>
      </c>
      <c r="N167">
        <f>2000+RIGHT(Table1[[#This Row],[Release Date]],2)</f>
        <v>2007</v>
      </c>
      <c r="O167">
        <f>_xlfn.MAXIFS(Table1[[#This Row],[Total Shipped]]:Table1[[#This Row],[Total Sales]],Table1[[#This Row],[Total Shipped]]:Table1[[#This Row],[Total Sales]],"&lt;&gt;#N/A")</f>
        <v>1.9</v>
      </c>
      <c r="P167">
        <f>_xlfn.MAXIFS(Table1[[#This Row],[VGChartz Score]:[User Score]],Table1[[#This Row],[VGChartz Score]:[User Score]],"&lt;&gt;#N/A")</f>
        <v>7.6</v>
      </c>
    </row>
    <row r="168" spans="1:16" hidden="1" x14ac:dyDescent="0.2">
      <c r="A168">
        <f t="shared" si="3"/>
        <v>167</v>
      </c>
      <c r="B168">
        <v>67</v>
      </c>
      <c r="C168" t="s">
        <v>138</v>
      </c>
      <c r="D168" t="s">
        <v>1044</v>
      </c>
      <c r="E168" t="s">
        <v>916</v>
      </c>
      <c r="F168" t="s">
        <v>240</v>
      </c>
      <c r="G168" t="e">
        <v>#N/A</v>
      </c>
      <c r="H168">
        <v>7.5</v>
      </c>
      <c r="I168" t="e">
        <v>#N/A</v>
      </c>
      <c r="J168" s="1" t="e">
        <v>#N/A</v>
      </c>
      <c r="K168" s="1">
        <v>1.86</v>
      </c>
      <c r="L168" t="s">
        <v>631</v>
      </c>
      <c r="M168" t="e">
        <v>#N/A</v>
      </c>
      <c r="N168">
        <f>2000+RIGHT(Table1[[#This Row],[Release Date]],2)</f>
        <v>2010</v>
      </c>
      <c r="O168">
        <f>_xlfn.MAXIFS(Table1[[#This Row],[Total Shipped]]:Table1[[#This Row],[Total Sales]],Table1[[#This Row],[Total Shipped]]:Table1[[#This Row],[Total Sales]],"&lt;&gt;#N/A")</f>
        <v>1.86</v>
      </c>
      <c r="P168">
        <f>_xlfn.MAXIFS(Table1[[#This Row],[VGChartz Score]:[User Score]],Table1[[#This Row],[VGChartz Score]:[User Score]],"&lt;&gt;#N/A")</f>
        <v>7.5</v>
      </c>
    </row>
    <row r="169" spans="1:16" hidden="1" x14ac:dyDescent="0.2">
      <c r="A169">
        <f t="shared" si="3"/>
        <v>168</v>
      </c>
      <c r="B169">
        <v>68</v>
      </c>
      <c r="C169" t="s">
        <v>138</v>
      </c>
      <c r="D169" t="s">
        <v>1045</v>
      </c>
      <c r="E169" t="s">
        <v>916</v>
      </c>
      <c r="F169" t="s">
        <v>979</v>
      </c>
      <c r="G169" t="e">
        <v>#N/A</v>
      </c>
      <c r="H169" t="e">
        <v>#N/A</v>
      </c>
      <c r="I169" t="e">
        <v>#N/A</v>
      </c>
      <c r="J169" s="2" t="e">
        <v>#N/A</v>
      </c>
      <c r="K169" s="2">
        <v>1.85</v>
      </c>
      <c r="L169" t="s">
        <v>1046</v>
      </c>
      <c r="M169" t="e">
        <v>#N/A</v>
      </c>
      <c r="N169">
        <f>2000+RIGHT(Table1[[#This Row],[Release Date]],2)</f>
        <v>2009</v>
      </c>
      <c r="O169">
        <f>_xlfn.MAXIFS(Table1[[#This Row],[Total Shipped]]:Table1[[#This Row],[Total Sales]],Table1[[#This Row],[Total Shipped]]:Table1[[#This Row],[Total Sales]],"&lt;&gt;#N/A")</f>
        <v>1.85</v>
      </c>
      <c r="P169">
        <f>_xlfn.MAXIFS(Table1[[#This Row],[VGChartz Score]:[User Score]],Table1[[#This Row],[VGChartz Score]:[User Score]],"&lt;&gt;#N/A")</f>
        <v>0</v>
      </c>
    </row>
    <row r="170" spans="1:16" hidden="1" x14ac:dyDescent="0.2">
      <c r="A170">
        <f t="shared" si="3"/>
        <v>169</v>
      </c>
      <c r="B170">
        <v>69</v>
      </c>
      <c r="C170" t="s">
        <v>138</v>
      </c>
      <c r="D170" t="s">
        <v>1047</v>
      </c>
      <c r="E170" t="s">
        <v>916</v>
      </c>
      <c r="F170" t="s">
        <v>621</v>
      </c>
      <c r="G170" t="e">
        <v>#N/A</v>
      </c>
      <c r="H170" t="e">
        <v>#N/A</v>
      </c>
      <c r="I170" t="e">
        <v>#N/A</v>
      </c>
      <c r="J170" s="1">
        <v>1.8</v>
      </c>
      <c r="K170" s="1" t="e">
        <v>#N/A</v>
      </c>
      <c r="L170" t="s">
        <v>965</v>
      </c>
      <c r="M170" t="e">
        <v>#N/A</v>
      </c>
      <c r="N170">
        <f>2000+RIGHT(Table1[[#This Row],[Release Date]],2)</f>
        <v>2007</v>
      </c>
      <c r="O170">
        <f>_xlfn.MAXIFS(Table1[[#This Row],[Total Shipped]]:Table1[[#This Row],[Total Sales]],Table1[[#This Row],[Total Shipped]]:Table1[[#This Row],[Total Sales]],"&lt;&gt;#N/A")</f>
        <v>1.8</v>
      </c>
      <c r="P170">
        <f>_xlfn.MAXIFS(Table1[[#This Row],[VGChartz Score]:[User Score]],Table1[[#This Row],[VGChartz Score]:[User Score]],"&lt;&gt;#N/A")</f>
        <v>0</v>
      </c>
    </row>
    <row r="171" spans="1:16" hidden="1" x14ac:dyDescent="0.2">
      <c r="A171">
        <f t="shared" si="3"/>
        <v>170</v>
      </c>
      <c r="B171">
        <v>70</v>
      </c>
      <c r="C171" t="s">
        <v>138</v>
      </c>
      <c r="D171" t="s">
        <v>1048</v>
      </c>
      <c r="E171" t="s">
        <v>916</v>
      </c>
      <c r="F171" t="s">
        <v>1</v>
      </c>
      <c r="G171" t="e">
        <v>#N/A</v>
      </c>
      <c r="H171">
        <v>8.8000000000000007</v>
      </c>
      <c r="I171" t="e">
        <v>#N/A</v>
      </c>
      <c r="J171" s="2">
        <v>1.73</v>
      </c>
      <c r="K171" s="2" t="e">
        <v>#N/A</v>
      </c>
      <c r="L171" t="s">
        <v>1049</v>
      </c>
      <c r="M171" t="e">
        <v>#N/A</v>
      </c>
      <c r="N171">
        <f>2000+RIGHT(Table1[[#This Row],[Release Date]],2)</f>
        <v>2005</v>
      </c>
      <c r="O171">
        <f>_xlfn.MAXIFS(Table1[[#This Row],[Total Shipped]]:Table1[[#This Row],[Total Sales]],Table1[[#This Row],[Total Shipped]]:Table1[[#This Row],[Total Sales]],"&lt;&gt;#N/A")</f>
        <v>1.73</v>
      </c>
      <c r="P171">
        <f>_xlfn.MAXIFS(Table1[[#This Row],[VGChartz Score]:[User Score]],Table1[[#This Row],[VGChartz Score]:[User Score]],"&lt;&gt;#N/A")</f>
        <v>8.8000000000000007</v>
      </c>
    </row>
    <row r="172" spans="1:16" hidden="1" x14ac:dyDescent="0.2">
      <c r="A172">
        <f t="shared" si="3"/>
        <v>171</v>
      </c>
      <c r="B172">
        <v>71</v>
      </c>
      <c r="C172" t="s">
        <v>138</v>
      </c>
      <c r="D172" t="s">
        <v>1050</v>
      </c>
      <c r="E172" t="s">
        <v>916</v>
      </c>
      <c r="F172" t="s">
        <v>1051</v>
      </c>
      <c r="G172" t="e">
        <v>#N/A</v>
      </c>
      <c r="H172" t="e">
        <v>#N/A</v>
      </c>
      <c r="I172" t="e">
        <v>#N/A</v>
      </c>
      <c r="J172" s="1" t="e">
        <v>#N/A</v>
      </c>
      <c r="K172" s="1">
        <v>1.72</v>
      </c>
      <c r="L172" t="s">
        <v>1052</v>
      </c>
      <c r="M172" t="e">
        <v>#N/A</v>
      </c>
      <c r="N172">
        <f>2000+RIGHT(Table1[[#This Row],[Release Date]],2)</f>
        <v>2007</v>
      </c>
      <c r="O172">
        <f>_xlfn.MAXIFS(Table1[[#This Row],[Total Shipped]]:Table1[[#This Row],[Total Sales]],Table1[[#This Row],[Total Shipped]]:Table1[[#This Row],[Total Sales]],"&lt;&gt;#N/A")</f>
        <v>1.72</v>
      </c>
      <c r="P172">
        <f>_xlfn.MAXIFS(Table1[[#This Row],[VGChartz Score]:[User Score]],Table1[[#This Row],[VGChartz Score]:[User Score]],"&lt;&gt;#N/A")</f>
        <v>0</v>
      </c>
    </row>
    <row r="173" spans="1:16" hidden="1" x14ac:dyDescent="0.2">
      <c r="A173">
        <f t="shared" si="3"/>
        <v>172</v>
      </c>
      <c r="B173">
        <v>72</v>
      </c>
      <c r="C173" t="s">
        <v>138</v>
      </c>
      <c r="D173" t="s">
        <v>1053</v>
      </c>
      <c r="E173" t="s">
        <v>916</v>
      </c>
      <c r="F173" t="s">
        <v>151</v>
      </c>
      <c r="G173" t="e">
        <v>#N/A</v>
      </c>
      <c r="H173" t="e">
        <v>#N/A</v>
      </c>
      <c r="I173" t="e">
        <v>#N/A</v>
      </c>
      <c r="J173" s="2" t="e">
        <v>#N/A</v>
      </c>
      <c r="K173" s="2">
        <v>1.71</v>
      </c>
      <c r="L173" t="s">
        <v>1054</v>
      </c>
      <c r="M173" t="e">
        <v>#N/A</v>
      </c>
      <c r="N173">
        <f>2000+RIGHT(Table1[[#This Row],[Release Date]],2)</f>
        <v>2008</v>
      </c>
      <c r="O173">
        <f>_xlfn.MAXIFS(Table1[[#This Row],[Total Shipped]]:Table1[[#This Row],[Total Sales]],Table1[[#This Row],[Total Shipped]]:Table1[[#This Row],[Total Sales]],"&lt;&gt;#N/A")</f>
        <v>1.71</v>
      </c>
      <c r="P173">
        <f>_xlfn.MAXIFS(Table1[[#This Row],[VGChartz Score]:[User Score]],Table1[[#This Row],[VGChartz Score]:[User Score]],"&lt;&gt;#N/A")</f>
        <v>0</v>
      </c>
    </row>
    <row r="174" spans="1:16" hidden="1" x14ac:dyDescent="0.2">
      <c r="A174">
        <f t="shared" si="3"/>
        <v>173</v>
      </c>
      <c r="B174">
        <v>73</v>
      </c>
      <c r="C174" t="s">
        <v>138</v>
      </c>
      <c r="D174" t="s">
        <v>1055</v>
      </c>
      <c r="E174" t="s">
        <v>916</v>
      </c>
      <c r="F174" t="s">
        <v>254</v>
      </c>
      <c r="G174">
        <v>8.4</v>
      </c>
      <c r="H174">
        <v>8.6</v>
      </c>
      <c r="I174" t="e">
        <v>#N/A</v>
      </c>
      <c r="J174" s="1">
        <v>1.7</v>
      </c>
      <c r="K174" s="1" t="e">
        <v>#N/A</v>
      </c>
      <c r="L174" t="s">
        <v>602</v>
      </c>
      <c r="M174" t="e">
        <v>#N/A</v>
      </c>
      <c r="N174">
        <f>2000+RIGHT(Table1[[#This Row],[Release Date]],2)</f>
        <v>2009</v>
      </c>
      <c r="O174">
        <f>_xlfn.MAXIFS(Table1[[#This Row],[Total Shipped]]:Table1[[#This Row],[Total Sales]],Table1[[#This Row],[Total Shipped]]:Table1[[#This Row],[Total Sales]],"&lt;&gt;#N/A")</f>
        <v>1.7</v>
      </c>
      <c r="P174">
        <f>_xlfn.MAXIFS(Table1[[#This Row],[VGChartz Score]:[User Score]],Table1[[#This Row],[VGChartz Score]:[User Score]],"&lt;&gt;#N/A")</f>
        <v>8.6</v>
      </c>
    </row>
    <row r="175" spans="1:16" hidden="1" x14ac:dyDescent="0.2">
      <c r="A175">
        <f t="shared" si="3"/>
        <v>174</v>
      </c>
      <c r="B175">
        <v>74</v>
      </c>
      <c r="C175" t="s">
        <v>138</v>
      </c>
      <c r="D175" t="s">
        <v>1056</v>
      </c>
      <c r="E175" t="s">
        <v>916</v>
      </c>
      <c r="F175" t="s">
        <v>1</v>
      </c>
      <c r="G175" t="e">
        <v>#N/A</v>
      </c>
      <c r="H175">
        <v>7.6</v>
      </c>
      <c r="I175" t="e">
        <v>#N/A</v>
      </c>
      <c r="J175" s="2">
        <v>1.7</v>
      </c>
      <c r="K175" s="2" t="e">
        <v>#N/A</v>
      </c>
      <c r="L175" t="s">
        <v>1057</v>
      </c>
      <c r="M175" t="e">
        <v>#N/A</v>
      </c>
      <c r="N175">
        <f>2000+RIGHT(Table1[[#This Row],[Release Date]],2)</f>
        <v>2011</v>
      </c>
      <c r="O175">
        <f>_xlfn.MAXIFS(Table1[[#This Row],[Total Shipped]]:Table1[[#This Row],[Total Sales]],Table1[[#This Row],[Total Shipped]]:Table1[[#This Row],[Total Sales]],"&lt;&gt;#N/A")</f>
        <v>1.7</v>
      </c>
      <c r="P175">
        <f>_xlfn.MAXIFS(Table1[[#This Row],[VGChartz Score]:[User Score]],Table1[[#This Row],[VGChartz Score]:[User Score]],"&lt;&gt;#N/A")</f>
        <v>7.6</v>
      </c>
    </row>
    <row r="176" spans="1:16" hidden="1" x14ac:dyDescent="0.2">
      <c r="A176">
        <f t="shared" si="3"/>
        <v>175</v>
      </c>
      <c r="B176">
        <v>75</v>
      </c>
      <c r="C176" t="s">
        <v>138</v>
      </c>
      <c r="D176" t="s">
        <v>1058</v>
      </c>
      <c r="E176" t="s">
        <v>916</v>
      </c>
      <c r="F176" t="s">
        <v>254</v>
      </c>
      <c r="G176">
        <v>8.5</v>
      </c>
      <c r="H176">
        <v>7.5</v>
      </c>
      <c r="I176" t="e">
        <v>#N/A</v>
      </c>
      <c r="J176" s="1">
        <v>1.7</v>
      </c>
      <c r="K176" s="1" t="e">
        <v>#N/A</v>
      </c>
      <c r="L176" t="s">
        <v>1059</v>
      </c>
      <c r="M176" t="e">
        <v>#N/A</v>
      </c>
      <c r="N176">
        <f>2000+RIGHT(Table1[[#This Row],[Release Date]],2)</f>
        <v>2009</v>
      </c>
      <c r="O176">
        <f>_xlfn.MAXIFS(Table1[[#This Row],[Total Shipped]]:Table1[[#This Row],[Total Sales]],Table1[[#This Row],[Total Shipped]]:Table1[[#This Row],[Total Sales]],"&lt;&gt;#N/A")</f>
        <v>1.7</v>
      </c>
      <c r="P176">
        <f>_xlfn.MAXIFS(Table1[[#This Row],[VGChartz Score]:[User Score]],Table1[[#This Row],[VGChartz Score]:[User Score]],"&lt;&gt;#N/A")</f>
        <v>8.5</v>
      </c>
    </row>
    <row r="177" spans="1:16" hidden="1" x14ac:dyDescent="0.2">
      <c r="A177">
        <f t="shared" si="3"/>
        <v>176</v>
      </c>
      <c r="B177">
        <v>76</v>
      </c>
      <c r="C177" t="s">
        <v>138</v>
      </c>
      <c r="D177" t="s">
        <v>1060</v>
      </c>
      <c r="E177" t="s">
        <v>916</v>
      </c>
      <c r="F177" t="s">
        <v>1</v>
      </c>
      <c r="G177" t="e">
        <v>#N/A</v>
      </c>
      <c r="H177">
        <v>7.8</v>
      </c>
      <c r="I177" t="e">
        <v>#N/A</v>
      </c>
      <c r="J177" s="2">
        <v>1.7</v>
      </c>
      <c r="K177" s="2" t="e">
        <v>#N/A</v>
      </c>
      <c r="L177" t="s">
        <v>1061</v>
      </c>
      <c r="M177" t="e">
        <v>#N/A</v>
      </c>
      <c r="N177">
        <f>2000+RIGHT(Table1[[#This Row],[Release Date]],2)</f>
        <v>2006</v>
      </c>
      <c r="O177">
        <f>_xlfn.MAXIFS(Table1[[#This Row],[Total Shipped]]:Table1[[#This Row],[Total Sales]],Table1[[#This Row],[Total Shipped]]:Table1[[#This Row],[Total Sales]],"&lt;&gt;#N/A")</f>
        <v>1.7</v>
      </c>
      <c r="P177">
        <f>_xlfn.MAXIFS(Table1[[#This Row],[VGChartz Score]:[User Score]],Table1[[#This Row],[VGChartz Score]:[User Score]],"&lt;&gt;#N/A")</f>
        <v>7.8</v>
      </c>
    </row>
    <row r="178" spans="1:16" hidden="1" x14ac:dyDescent="0.2">
      <c r="A178">
        <f t="shared" si="3"/>
        <v>177</v>
      </c>
      <c r="B178">
        <v>77</v>
      </c>
      <c r="C178" t="s">
        <v>138</v>
      </c>
      <c r="D178" t="s">
        <v>1062</v>
      </c>
      <c r="E178" t="s">
        <v>916</v>
      </c>
      <c r="F178" t="s">
        <v>799</v>
      </c>
      <c r="G178" t="e">
        <v>#N/A</v>
      </c>
      <c r="H178" t="e">
        <v>#N/A</v>
      </c>
      <c r="I178" t="e">
        <v>#N/A</v>
      </c>
      <c r="J178" s="1" t="e">
        <v>#N/A</v>
      </c>
      <c r="K178" s="1">
        <v>1.7</v>
      </c>
      <c r="L178" t="s">
        <v>1063</v>
      </c>
      <c r="M178" t="e">
        <v>#N/A</v>
      </c>
      <c r="N178">
        <f>2000+RIGHT(Table1[[#This Row],[Release Date]],2)</f>
        <v>2007</v>
      </c>
      <c r="O178">
        <f>_xlfn.MAXIFS(Table1[[#This Row],[Total Shipped]]:Table1[[#This Row],[Total Sales]],Table1[[#This Row],[Total Shipped]]:Table1[[#This Row],[Total Sales]],"&lt;&gt;#N/A")</f>
        <v>1.7</v>
      </c>
      <c r="P178">
        <f>_xlfn.MAXIFS(Table1[[#This Row],[VGChartz Score]:[User Score]],Table1[[#This Row],[VGChartz Score]:[User Score]],"&lt;&gt;#N/A")</f>
        <v>0</v>
      </c>
    </row>
    <row r="179" spans="1:16" hidden="1" x14ac:dyDescent="0.2">
      <c r="A179">
        <f t="shared" si="3"/>
        <v>178</v>
      </c>
      <c r="B179">
        <v>78</v>
      </c>
      <c r="C179" t="s">
        <v>138</v>
      </c>
      <c r="D179" t="s">
        <v>1064</v>
      </c>
      <c r="E179" t="s">
        <v>916</v>
      </c>
      <c r="F179" t="s">
        <v>1065</v>
      </c>
      <c r="G179" t="e">
        <v>#N/A</v>
      </c>
      <c r="H179" t="e">
        <v>#N/A</v>
      </c>
      <c r="I179" t="e">
        <v>#N/A</v>
      </c>
      <c r="J179" s="2" t="e">
        <v>#N/A</v>
      </c>
      <c r="K179" s="2">
        <v>1.69</v>
      </c>
      <c r="L179" t="s">
        <v>610</v>
      </c>
      <c r="M179" t="e">
        <v>#N/A</v>
      </c>
      <c r="N179">
        <f>2000+RIGHT(Table1[[#This Row],[Release Date]],2)</f>
        <v>2009</v>
      </c>
      <c r="O179">
        <f>_xlfn.MAXIFS(Table1[[#This Row],[Total Shipped]]:Table1[[#This Row],[Total Sales]],Table1[[#This Row],[Total Shipped]]:Table1[[#This Row],[Total Sales]],"&lt;&gt;#N/A")</f>
        <v>1.69</v>
      </c>
      <c r="P179">
        <f>_xlfn.MAXIFS(Table1[[#This Row],[VGChartz Score]:[User Score]],Table1[[#This Row],[VGChartz Score]:[User Score]],"&lt;&gt;#N/A")</f>
        <v>0</v>
      </c>
    </row>
    <row r="180" spans="1:16" hidden="1" x14ac:dyDescent="0.2">
      <c r="A180">
        <f t="shared" si="3"/>
        <v>179</v>
      </c>
      <c r="B180">
        <v>79</v>
      </c>
      <c r="C180" t="s">
        <v>138</v>
      </c>
      <c r="D180" t="s">
        <v>1066</v>
      </c>
      <c r="E180" t="s">
        <v>916</v>
      </c>
      <c r="F180" t="s">
        <v>1</v>
      </c>
      <c r="G180" t="e">
        <v>#N/A</v>
      </c>
      <c r="H180" t="e">
        <v>#N/A</v>
      </c>
      <c r="I180" t="e">
        <v>#N/A</v>
      </c>
      <c r="J180" s="1">
        <v>1.68</v>
      </c>
      <c r="K180" s="1" t="e">
        <v>#N/A</v>
      </c>
      <c r="L180" t="s">
        <v>1067</v>
      </c>
      <c r="M180" t="e">
        <v>#N/A</v>
      </c>
      <c r="N180">
        <f>2000+RIGHT(Table1[[#This Row],[Release Date]],2)</f>
        <v>2006</v>
      </c>
      <c r="O180">
        <f>_xlfn.MAXIFS(Table1[[#This Row],[Total Shipped]]:Table1[[#This Row],[Total Sales]],Table1[[#This Row],[Total Shipped]]:Table1[[#This Row],[Total Sales]],"&lt;&gt;#N/A")</f>
        <v>1.68</v>
      </c>
      <c r="P180">
        <f>_xlfn.MAXIFS(Table1[[#This Row],[VGChartz Score]:[User Score]],Table1[[#This Row],[VGChartz Score]:[User Score]],"&lt;&gt;#N/A")</f>
        <v>0</v>
      </c>
    </row>
    <row r="181" spans="1:16" hidden="1" x14ac:dyDescent="0.2">
      <c r="A181">
        <f t="shared" si="3"/>
        <v>180</v>
      </c>
      <c r="B181">
        <v>80</v>
      </c>
      <c r="C181" t="s">
        <v>138</v>
      </c>
      <c r="D181" t="s">
        <v>1068</v>
      </c>
      <c r="E181" t="s">
        <v>916</v>
      </c>
      <c r="F181" t="s">
        <v>661</v>
      </c>
      <c r="G181" t="e">
        <v>#N/A</v>
      </c>
      <c r="H181" t="e">
        <v>#N/A</v>
      </c>
      <c r="I181" t="e">
        <v>#N/A</v>
      </c>
      <c r="J181" s="2" t="e">
        <v>#N/A</v>
      </c>
      <c r="K181" s="2">
        <v>1.61</v>
      </c>
      <c r="L181" t="s">
        <v>655</v>
      </c>
      <c r="M181" t="e">
        <v>#N/A</v>
      </c>
      <c r="N181">
        <f>2000+RIGHT(Table1[[#This Row],[Release Date]],2)</f>
        <v>2007</v>
      </c>
      <c r="O181">
        <f>_xlfn.MAXIFS(Table1[[#This Row],[Total Shipped]]:Table1[[#This Row],[Total Sales]],Table1[[#This Row],[Total Shipped]]:Table1[[#This Row],[Total Sales]],"&lt;&gt;#N/A")</f>
        <v>1.61</v>
      </c>
      <c r="P181">
        <f>_xlfn.MAXIFS(Table1[[#This Row],[VGChartz Score]:[User Score]],Table1[[#This Row],[VGChartz Score]:[User Score]],"&lt;&gt;#N/A")</f>
        <v>0</v>
      </c>
    </row>
    <row r="182" spans="1:16" hidden="1" x14ac:dyDescent="0.2">
      <c r="A182">
        <f t="shared" si="3"/>
        <v>181</v>
      </c>
      <c r="B182">
        <v>81</v>
      </c>
      <c r="C182" t="s">
        <v>138</v>
      </c>
      <c r="D182" t="s">
        <v>1069</v>
      </c>
      <c r="E182" t="s">
        <v>916</v>
      </c>
      <c r="F182" t="s">
        <v>254</v>
      </c>
      <c r="G182">
        <v>8</v>
      </c>
      <c r="H182">
        <v>8.1</v>
      </c>
      <c r="I182">
        <v>8</v>
      </c>
      <c r="J182" s="1">
        <v>1.6</v>
      </c>
      <c r="K182" s="1" t="e">
        <v>#N/A</v>
      </c>
      <c r="L182" t="s">
        <v>690</v>
      </c>
      <c r="M182" t="e">
        <v>#N/A</v>
      </c>
      <c r="N182">
        <f>2000+RIGHT(Table1[[#This Row],[Release Date]],2)</f>
        <v>2008</v>
      </c>
      <c r="O182">
        <f>_xlfn.MAXIFS(Table1[[#This Row],[Total Shipped]]:Table1[[#This Row],[Total Sales]],Table1[[#This Row],[Total Shipped]]:Table1[[#This Row],[Total Sales]],"&lt;&gt;#N/A")</f>
        <v>1.6</v>
      </c>
      <c r="P182">
        <f>_xlfn.MAXIFS(Table1[[#This Row],[VGChartz Score]:[User Score]],Table1[[#This Row],[VGChartz Score]:[User Score]],"&lt;&gt;#N/A")</f>
        <v>8.1</v>
      </c>
    </row>
    <row r="183" spans="1:16" hidden="1" x14ac:dyDescent="0.2">
      <c r="A183">
        <f t="shared" si="3"/>
        <v>182</v>
      </c>
      <c r="B183">
        <v>82</v>
      </c>
      <c r="C183" t="s">
        <v>138</v>
      </c>
      <c r="D183" t="s">
        <v>1070</v>
      </c>
      <c r="E183" t="s">
        <v>916</v>
      </c>
      <c r="F183" t="s">
        <v>1</v>
      </c>
      <c r="G183" t="e">
        <v>#N/A</v>
      </c>
      <c r="H183">
        <v>5.0999999999999996</v>
      </c>
      <c r="I183" t="e">
        <v>#N/A</v>
      </c>
      <c r="J183" s="2">
        <v>1.59</v>
      </c>
      <c r="K183" s="2" t="e">
        <v>#N/A</v>
      </c>
      <c r="L183" t="s">
        <v>1071</v>
      </c>
      <c r="M183" t="e">
        <v>#N/A</v>
      </c>
      <c r="N183">
        <f>2000+RIGHT(Table1[[#This Row],[Release Date]],2)</f>
        <v>2007</v>
      </c>
      <c r="O183">
        <f>_xlfn.MAXIFS(Table1[[#This Row],[Total Shipped]]:Table1[[#This Row],[Total Sales]],Table1[[#This Row],[Total Shipped]]:Table1[[#This Row],[Total Sales]],"&lt;&gt;#N/A")</f>
        <v>1.59</v>
      </c>
      <c r="P183">
        <f>_xlfn.MAXIFS(Table1[[#This Row],[VGChartz Score]:[User Score]],Table1[[#This Row],[VGChartz Score]:[User Score]],"&lt;&gt;#N/A")</f>
        <v>5.0999999999999996</v>
      </c>
    </row>
    <row r="184" spans="1:16" hidden="1" x14ac:dyDescent="0.2">
      <c r="A184">
        <f t="shared" si="3"/>
        <v>183</v>
      </c>
      <c r="B184">
        <v>83</v>
      </c>
      <c r="C184" t="s">
        <v>138</v>
      </c>
      <c r="D184" t="s">
        <v>1072</v>
      </c>
      <c r="E184" t="s">
        <v>916</v>
      </c>
      <c r="F184" t="s">
        <v>233</v>
      </c>
      <c r="G184" t="e">
        <v>#N/A</v>
      </c>
      <c r="H184" t="e">
        <v>#N/A</v>
      </c>
      <c r="I184" t="e">
        <v>#N/A</v>
      </c>
      <c r="J184" s="1" t="e">
        <v>#N/A</v>
      </c>
      <c r="K184" s="1">
        <v>1.57</v>
      </c>
      <c r="L184" t="s">
        <v>708</v>
      </c>
      <c r="M184" t="e">
        <v>#N/A</v>
      </c>
      <c r="N184">
        <f>2000+RIGHT(Table1[[#This Row],[Release Date]],2)</f>
        <v>2008</v>
      </c>
      <c r="O184">
        <f>_xlfn.MAXIFS(Table1[[#This Row],[Total Shipped]]:Table1[[#This Row],[Total Sales]],Table1[[#This Row],[Total Shipped]]:Table1[[#This Row],[Total Sales]],"&lt;&gt;#N/A")</f>
        <v>1.57</v>
      </c>
      <c r="P184">
        <f>_xlfn.MAXIFS(Table1[[#This Row],[VGChartz Score]:[User Score]],Table1[[#This Row],[VGChartz Score]:[User Score]],"&lt;&gt;#N/A")</f>
        <v>0</v>
      </c>
    </row>
    <row r="185" spans="1:16" hidden="1" x14ac:dyDescent="0.2">
      <c r="A185">
        <f t="shared" si="3"/>
        <v>184</v>
      </c>
      <c r="B185">
        <v>84</v>
      </c>
      <c r="C185" t="s">
        <v>138</v>
      </c>
      <c r="D185" t="s">
        <v>1073</v>
      </c>
      <c r="E185" t="s">
        <v>916</v>
      </c>
      <c r="F185" t="s">
        <v>233</v>
      </c>
      <c r="G185" t="e">
        <v>#N/A</v>
      </c>
      <c r="H185" t="e">
        <v>#N/A</v>
      </c>
      <c r="I185" t="e">
        <v>#N/A</v>
      </c>
      <c r="J185" s="2" t="e">
        <v>#N/A</v>
      </c>
      <c r="K185" s="2">
        <v>1.57</v>
      </c>
      <c r="L185" t="s">
        <v>1074</v>
      </c>
      <c r="M185" t="e">
        <v>#N/A</v>
      </c>
      <c r="N185">
        <f>2000+RIGHT(Table1[[#This Row],[Release Date]],2)</f>
        <v>2011</v>
      </c>
      <c r="O185">
        <f>_xlfn.MAXIFS(Table1[[#This Row],[Total Shipped]]:Table1[[#This Row],[Total Sales]],Table1[[#This Row],[Total Shipped]]:Table1[[#This Row],[Total Sales]],"&lt;&gt;#N/A")</f>
        <v>1.57</v>
      </c>
      <c r="P185">
        <f>_xlfn.MAXIFS(Table1[[#This Row],[VGChartz Score]:[User Score]],Table1[[#This Row],[VGChartz Score]:[User Score]],"&lt;&gt;#N/A")</f>
        <v>0</v>
      </c>
    </row>
    <row r="186" spans="1:16" hidden="1" x14ac:dyDescent="0.2">
      <c r="A186">
        <f t="shared" si="3"/>
        <v>185</v>
      </c>
      <c r="B186">
        <v>85</v>
      </c>
      <c r="C186" t="s">
        <v>138</v>
      </c>
      <c r="D186" t="s">
        <v>1075</v>
      </c>
      <c r="E186" t="s">
        <v>916</v>
      </c>
      <c r="F186" t="s">
        <v>979</v>
      </c>
      <c r="G186" t="e">
        <v>#N/A</v>
      </c>
      <c r="H186" t="e">
        <v>#N/A</v>
      </c>
      <c r="I186" t="e">
        <v>#N/A</v>
      </c>
      <c r="J186" s="1" t="e">
        <v>#N/A</v>
      </c>
      <c r="K186" s="1">
        <v>1.57</v>
      </c>
      <c r="L186" t="s">
        <v>1076</v>
      </c>
      <c r="M186" t="e">
        <v>#N/A</v>
      </c>
      <c r="N186">
        <f>2000+RIGHT(Table1[[#This Row],[Release Date]],2)</f>
        <v>2008</v>
      </c>
      <c r="O186">
        <f>_xlfn.MAXIFS(Table1[[#This Row],[Total Shipped]]:Table1[[#This Row],[Total Sales]],Table1[[#This Row],[Total Shipped]]:Table1[[#This Row],[Total Sales]],"&lt;&gt;#N/A")</f>
        <v>1.57</v>
      </c>
      <c r="P186">
        <f>_xlfn.MAXIFS(Table1[[#This Row],[VGChartz Score]:[User Score]],Table1[[#This Row],[VGChartz Score]:[User Score]],"&lt;&gt;#N/A")</f>
        <v>0</v>
      </c>
    </row>
    <row r="187" spans="1:16" hidden="1" x14ac:dyDescent="0.2">
      <c r="A187">
        <f t="shared" si="3"/>
        <v>186</v>
      </c>
      <c r="B187">
        <v>86</v>
      </c>
      <c r="C187" t="s">
        <v>138</v>
      </c>
      <c r="D187" t="s">
        <v>1077</v>
      </c>
      <c r="E187" t="s">
        <v>916</v>
      </c>
      <c r="F187" t="s">
        <v>979</v>
      </c>
      <c r="G187" t="e">
        <v>#N/A</v>
      </c>
      <c r="H187" t="e">
        <v>#N/A</v>
      </c>
      <c r="I187" t="e">
        <v>#N/A</v>
      </c>
      <c r="J187" s="2" t="e">
        <v>#N/A</v>
      </c>
      <c r="K187" s="2">
        <v>1.56</v>
      </c>
      <c r="L187" t="s">
        <v>1078</v>
      </c>
      <c r="M187" t="e">
        <v>#N/A</v>
      </c>
      <c r="N187">
        <f>2000+RIGHT(Table1[[#This Row],[Release Date]],2)</f>
        <v>2007</v>
      </c>
      <c r="O187">
        <f>_xlfn.MAXIFS(Table1[[#This Row],[Total Shipped]]:Table1[[#This Row],[Total Sales]],Table1[[#This Row],[Total Shipped]]:Table1[[#This Row],[Total Sales]],"&lt;&gt;#N/A")</f>
        <v>1.56</v>
      </c>
      <c r="P187">
        <f>_xlfn.MAXIFS(Table1[[#This Row],[VGChartz Score]:[User Score]],Table1[[#This Row],[VGChartz Score]:[User Score]],"&lt;&gt;#N/A")</f>
        <v>0</v>
      </c>
    </row>
    <row r="188" spans="1:16" hidden="1" x14ac:dyDescent="0.2">
      <c r="A188">
        <f t="shared" si="3"/>
        <v>187</v>
      </c>
      <c r="B188">
        <v>87</v>
      </c>
      <c r="C188" t="s">
        <v>138</v>
      </c>
      <c r="D188" t="s">
        <v>1079</v>
      </c>
      <c r="E188" t="s">
        <v>916</v>
      </c>
      <c r="F188" t="s">
        <v>324</v>
      </c>
      <c r="G188" t="e">
        <v>#N/A</v>
      </c>
      <c r="H188" t="e">
        <v>#N/A</v>
      </c>
      <c r="I188" t="e">
        <v>#N/A</v>
      </c>
      <c r="J188" s="1" t="e">
        <v>#N/A</v>
      </c>
      <c r="K188" s="1">
        <v>1.56</v>
      </c>
      <c r="L188" t="s">
        <v>595</v>
      </c>
      <c r="M188" t="e">
        <v>#N/A</v>
      </c>
      <c r="N188">
        <f>2000+RIGHT(Table1[[#This Row],[Release Date]],2)</f>
        <v>2008</v>
      </c>
      <c r="O188">
        <f>_xlfn.MAXIFS(Table1[[#This Row],[Total Shipped]]:Table1[[#This Row],[Total Sales]],Table1[[#This Row],[Total Shipped]]:Table1[[#This Row],[Total Sales]],"&lt;&gt;#N/A")</f>
        <v>1.56</v>
      </c>
      <c r="P188">
        <f>_xlfn.MAXIFS(Table1[[#This Row],[VGChartz Score]:[User Score]],Table1[[#This Row],[VGChartz Score]:[User Score]],"&lt;&gt;#N/A")</f>
        <v>0</v>
      </c>
    </row>
    <row r="189" spans="1:16" hidden="1" x14ac:dyDescent="0.2">
      <c r="A189">
        <f t="shared" si="3"/>
        <v>188</v>
      </c>
      <c r="B189">
        <v>88</v>
      </c>
      <c r="C189" t="s">
        <v>138</v>
      </c>
      <c r="D189" t="s">
        <v>1080</v>
      </c>
      <c r="E189" t="s">
        <v>916</v>
      </c>
      <c r="F189" t="s">
        <v>1</v>
      </c>
      <c r="G189" t="e">
        <v>#N/A</v>
      </c>
      <c r="H189" t="e">
        <v>#N/A</v>
      </c>
      <c r="I189" t="e">
        <v>#N/A</v>
      </c>
      <c r="J189" s="2">
        <v>1.55</v>
      </c>
      <c r="K189" s="2" t="e">
        <v>#N/A</v>
      </c>
      <c r="L189" t="s">
        <v>1081</v>
      </c>
      <c r="M189" t="e">
        <v>#N/A</v>
      </c>
      <c r="N189">
        <f>2000+RIGHT(Table1[[#This Row],[Release Date]],2)</f>
        <v>2007</v>
      </c>
      <c r="O189">
        <f>_xlfn.MAXIFS(Table1[[#This Row],[Total Shipped]]:Table1[[#This Row],[Total Sales]],Table1[[#This Row],[Total Shipped]]:Table1[[#This Row],[Total Sales]],"&lt;&gt;#N/A")</f>
        <v>1.55</v>
      </c>
      <c r="P189">
        <f>_xlfn.MAXIFS(Table1[[#This Row],[VGChartz Score]:[User Score]],Table1[[#This Row],[VGChartz Score]:[User Score]],"&lt;&gt;#N/A")</f>
        <v>0</v>
      </c>
    </row>
    <row r="190" spans="1:16" hidden="1" x14ac:dyDescent="0.2">
      <c r="A190">
        <f t="shared" si="3"/>
        <v>189</v>
      </c>
      <c r="B190">
        <v>89</v>
      </c>
      <c r="C190" t="s">
        <v>138</v>
      </c>
      <c r="D190" t="s">
        <v>1082</v>
      </c>
      <c r="E190" t="s">
        <v>916</v>
      </c>
      <c r="F190" t="s">
        <v>1</v>
      </c>
      <c r="G190" t="e">
        <v>#N/A</v>
      </c>
      <c r="H190">
        <v>6.5</v>
      </c>
      <c r="I190" t="e">
        <v>#N/A</v>
      </c>
      <c r="J190" s="1">
        <v>1.53</v>
      </c>
      <c r="K190" s="1" t="e">
        <v>#N/A</v>
      </c>
      <c r="L190" t="s">
        <v>1083</v>
      </c>
      <c r="M190" t="e">
        <v>#N/A</v>
      </c>
      <c r="N190">
        <f>2000+RIGHT(Table1[[#This Row],[Release Date]],2)</f>
        <v>2010</v>
      </c>
      <c r="O190">
        <f>_xlfn.MAXIFS(Table1[[#This Row],[Total Shipped]]:Table1[[#This Row],[Total Sales]],Table1[[#This Row],[Total Shipped]]:Table1[[#This Row],[Total Sales]],"&lt;&gt;#N/A")</f>
        <v>1.53</v>
      </c>
      <c r="P190">
        <f>_xlfn.MAXIFS(Table1[[#This Row],[VGChartz Score]:[User Score]],Table1[[#This Row],[VGChartz Score]:[User Score]],"&lt;&gt;#N/A")</f>
        <v>6.5</v>
      </c>
    </row>
    <row r="191" spans="1:16" hidden="1" x14ac:dyDescent="0.2">
      <c r="A191">
        <f t="shared" si="3"/>
        <v>190</v>
      </c>
      <c r="B191">
        <v>90</v>
      </c>
      <c r="C191" t="s">
        <v>138</v>
      </c>
      <c r="D191" t="s">
        <v>1084</v>
      </c>
      <c r="E191" t="s">
        <v>916</v>
      </c>
      <c r="F191" t="s">
        <v>979</v>
      </c>
      <c r="G191" t="e">
        <v>#N/A</v>
      </c>
      <c r="H191" t="e">
        <v>#N/A</v>
      </c>
      <c r="I191" t="e">
        <v>#N/A</v>
      </c>
      <c r="J191" s="2" t="e">
        <v>#N/A</v>
      </c>
      <c r="K191" s="2">
        <v>1.52</v>
      </c>
      <c r="L191" t="s">
        <v>595</v>
      </c>
      <c r="M191" t="e">
        <v>#N/A</v>
      </c>
      <c r="N191">
        <f>2000+RIGHT(Table1[[#This Row],[Release Date]],2)</f>
        <v>2008</v>
      </c>
      <c r="O191">
        <f>_xlfn.MAXIFS(Table1[[#This Row],[Total Shipped]]:Table1[[#This Row],[Total Sales]],Table1[[#This Row],[Total Shipped]]:Table1[[#This Row],[Total Sales]],"&lt;&gt;#N/A")</f>
        <v>1.52</v>
      </c>
      <c r="P191">
        <f>_xlfn.MAXIFS(Table1[[#This Row],[VGChartz Score]:[User Score]],Table1[[#This Row],[VGChartz Score]:[User Score]],"&lt;&gt;#N/A")</f>
        <v>0</v>
      </c>
    </row>
    <row r="192" spans="1:16" hidden="1" x14ac:dyDescent="0.2">
      <c r="A192">
        <f t="shared" si="3"/>
        <v>191</v>
      </c>
      <c r="B192">
        <v>91</v>
      </c>
      <c r="C192" t="s">
        <v>138</v>
      </c>
      <c r="D192" t="s">
        <v>1085</v>
      </c>
      <c r="E192" t="s">
        <v>916</v>
      </c>
      <c r="F192" t="s">
        <v>1</v>
      </c>
      <c r="G192" t="e">
        <v>#N/A</v>
      </c>
      <c r="H192">
        <v>7.7</v>
      </c>
      <c r="I192" t="e">
        <v>#N/A</v>
      </c>
      <c r="J192" s="1">
        <v>1.52</v>
      </c>
      <c r="K192" s="1" t="e">
        <v>#N/A</v>
      </c>
      <c r="L192" t="s">
        <v>1086</v>
      </c>
      <c r="M192" t="e">
        <v>#N/A</v>
      </c>
      <c r="N192">
        <f>2000+RIGHT(Table1[[#This Row],[Release Date]],2)</f>
        <v>2006</v>
      </c>
      <c r="O192">
        <f>_xlfn.MAXIFS(Table1[[#This Row],[Total Shipped]]:Table1[[#This Row],[Total Sales]],Table1[[#This Row],[Total Shipped]]:Table1[[#This Row],[Total Sales]],"&lt;&gt;#N/A")</f>
        <v>1.52</v>
      </c>
      <c r="P192">
        <f>_xlfn.MAXIFS(Table1[[#This Row],[VGChartz Score]:[User Score]],Table1[[#This Row],[VGChartz Score]:[User Score]],"&lt;&gt;#N/A")</f>
        <v>7.7</v>
      </c>
    </row>
    <row r="193" spans="1:16" hidden="1" x14ac:dyDescent="0.2">
      <c r="A193">
        <f t="shared" si="3"/>
        <v>192</v>
      </c>
      <c r="B193">
        <v>92</v>
      </c>
      <c r="C193" t="s">
        <v>138</v>
      </c>
      <c r="D193" t="s">
        <v>1087</v>
      </c>
      <c r="E193" t="s">
        <v>916</v>
      </c>
      <c r="F193" t="s">
        <v>324</v>
      </c>
      <c r="G193" t="e">
        <v>#N/A</v>
      </c>
      <c r="H193" t="e">
        <v>#N/A</v>
      </c>
      <c r="I193" t="e">
        <v>#N/A</v>
      </c>
      <c r="J193" s="2" t="e">
        <v>#N/A</v>
      </c>
      <c r="K193" s="2">
        <v>1.51</v>
      </c>
      <c r="L193" t="s">
        <v>1063</v>
      </c>
      <c r="M193" t="e">
        <v>#N/A</v>
      </c>
      <c r="N193">
        <f>2000+RIGHT(Table1[[#This Row],[Release Date]],2)</f>
        <v>2007</v>
      </c>
      <c r="O193">
        <f>_xlfn.MAXIFS(Table1[[#This Row],[Total Shipped]]:Table1[[#This Row],[Total Sales]],Table1[[#This Row],[Total Shipped]]:Table1[[#This Row],[Total Sales]],"&lt;&gt;#N/A")</f>
        <v>1.51</v>
      </c>
      <c r="P193">
        <f>_xlfn.MAXIFS(Table1[[#This Row],[VGChartz Score]:[User Score]],Table1[[#This Row],[VGChartz Score]:[User Score]],"&lt;&gt;#N/A")</f>
        <v>0</v>
      </c>
    </row>
    <row r="194" spans="1:16" hidden="1" x14ac:dyDescent="0.2">
      <c r="A194">
        <f t="shared" si="3"/>
        <v>193</v>
      </c>
      <c r="B194">
        <v>93</v>
      </c>
      <c r="C194" t="s">
        <v>138</v>
      </c>
      <c r="D194" t="s">
        <v>1088</v>
      </c>
      <c r="E194" t="s">
        <v>916</v>
      </c>
      <c r="F194" t="s">
        <v>240</v>
      </c>
      <c r="G194">
        <v>8.3000000000000007</v>
      </c>
      <c r="H194">
        <v>8.1999999999999993</v>
      </c>
      <c r="I194">
        <v>8.1</v>
      </c>
      <c r="J194" s="1">
        <v>1.5</v>
      </c>
      <c r="K194" s="1" t="e">
        <v>#N/A</v>
      </c>
      <c r="L194" t="s">
        <v>636</v>
      </c>
      <c r="M194" t="e">
        <v>#N/A</v>
      </c>
      <c r="N194">
        <f>2000+RIGHT(Table1[[#This Row],[Release Date]],2)</f>
        <v>2010</v>
      </c>
      <c r="O194">
        <f>_xlfn.MAXIFS(Table1[[#This Row],[Total Shipped]]:Table1[[#This Row],[Total Sales]],Table1[[#This Row],[Total Shipped]]:Table1[[#This Row],[Total Sales]],"&lt;&gt;#N/A")</f>
        <v>1.5</v>
      </c>
      <c r="P194">
        <f>_xlfn.MAXIFS(Table1[[#This Row],[VGChartz Score]:[User Score]],Table1[[#This Row],[VGChartz Score]:[User Score]],"&lt;&gt;#N/A")</f>
        <v>8.3000000000000007</v>
      </c>
    </row>
    <row r="195" spans="1:16" hidden="1" x14ac:dyDescent="0.2">
      <c r="A195">
        <f t="shared" si="3"/>
        <v>194</v>
      </c>
      <c r="B195">
        <v>94</v>
      </c>
      <c r="C195" t="s">
        <v>138</v>
      </c>
      <c r="D195" t="s">
        <v>1089</v>
      </c>
      <c r="E195" t="s">
        <v>916</v>
      </c>
      <c r="F195" t="s">
        <v>1</v>
      </c>
      <c r="G195" t="e">
        <v>#N/A</v>
      </c>
      <c r="H195">
        <v>5.7</v>
      </c>
      <c r="I195" t="e">
        <v>#N/A</v>
      </c>
      <c r="J195" s="2">
        <v>1.49</v>
      </c>
      <c r="K195" s="2" t="e">
        <v>#N/A</v>
      </c>
      <c r="L195" t="s">
        <v>1090</v>
      </c>
      <c r="M195" t="e">
        <v>#N/A</v>
      </c>
      <c r="N195">
        <f>2000+RIGHT(Table1[[#This Row],[Release Date]],2)</f>
        <v>2009</v>
      </c>
      <c r="O195">
        <f>_xlfn.MAXIFS(Table1[[#This Row],[Total Shipped]]:Table1[[#This Row],[Total Sales]],Table1[[#This Row],[Total Shipped]]:Table1[[#This Row],[Total Sales]],"&lt;&gt;#N/A")</f>
        <v>1.49</v>
      </c>
      <c r="P195">
        <f>_xlfn.MAXIFS(Table1[[#This Row],[VGChartz Score]:[User Score]],Table1[[#This Row],[VGChartz Score]:[User Score]],"&lt;&gt;#N/A")</f>
        <v>5.7</v>
      </c>
    </row>
    <row r="196" spans="1:16" hidden="1" x14ac:dyDescent="0.2">
      <c r="A196">
        <f t="shared" si="3"/>
        <v>195</v>
      </c>
      <c r="B196">
        <v>95</v>
      </c>
      <c r="C196" t="s">
        <v>138</v>
      </c>
      <c r="D196" t="s">
        <v>1091</v>
      </c>
      <c r="E196" t="s">
        <v>916</v>
      </c>
      <c r="F196" t="s">
        <v>661</v>
      </c>
      <c r="G196" t="e">
        <v>#N/A</v>
      </c>
      <c r="H196" t="e">
        <v>#N/A</v>
      </c>
      <c r="I196" t="e">
        <v>#N/A</v>
      </c>
      <c r="J196" s="1" t="e">
        <v>#N/A</v>
      </c>
      <c r="K196" s="1">
        <v>1.48</v>
      </c>
      <c r="L196" t="s">
        <v>968</v>
      </c>
      <c r="M196" t="e">
        <v>#N/A</v>
      </c>
      <c r="N196">
        <f>2000+RIGHT(Table1[[#This Row],[Release Date]],2)</f>
        <v>2006</v>
      </c>
      <c r="O196">
        <f>_xlfn.MAXIFS(Table1[[#This Row],[Total Shipped]]:Table1[[#This Row],[Total Sales]],Table1[[#This Row],[Total Shipped]]:Table1[[#This Row],[Total Sales]],"&lt;&gt;#N/A")</f>
        <v>1.48</v>
      </c>
      <c r="P196">
        <f>_xlfn.MAXIFS(Table1[[#This Row],[VGChartz Score]:[User Score]],Table1[[#This Row],[VGChartz Score]:[User Score]],"&lt;&gt;#N/A")</f>
        <v>0</v>
      </c>
    </row>
    <row r="197" spans="1:16" hidden="1" x14ac:dyDescent="0.2">
      <c r="A197">
        <f t="shared" si="3"/>
        <v>196</v>
      </c>
      <c r="B197">
        <v>96</v>
      </c>
      <c r="C197" t="s">
        <v>138</v>
      </c>
      <c r="D197" t="s">
        <v>1092</v>
      </c>
      <c r="E197" t="s">
        <v>916</v>
      </c>
      <c r="F197" t="s">
        <v>661</v>
      </c>
      <c r="G197" t="e">
        <v>#N/A</v>
      </c>
      <c r="H197" t="e">
        <v>#N/A</v>
      </c>
      <c r="I197" t="e">
        <v>#N/A</v>
      </c>
      <c r="J197" s="2" t="e">
        <v>#N/A</v>
      </c>
      <c r="K197" s="2">
        <v>1.48</v>
      </c>
      <c r="L197" t="s">
        <v>1093</v>
      </c>
      <c r="M197" t="e">
        <v>#N/A</v>
      </c>
      <c r="N197">
        <f>2000+RIGHT(Table1[[#This Row],[Release Date]],2)</f>
        <v>2008</v>
      </c>
      <c r="O197">
        <f>_xlfn.MAXIFS(Table1[[#This Row],[Total Shipped]]:Table1[[#This Row],[Total Sales]],Table1[[#This Row],[Total Shipped]]:Table1[[#This Row],[Total Sales]],"&lt;&gt;#N/A")</f>
        <v>1.48</v>
      </c>
      <c r="P197">
        <f>_xlfn.MAXIFS(Table1[[#This Row],[VGChartz Score]:[User Score]],Table1[[#This Row],[VGChartz Score]:[User Score]],"&lt;&gt;#N/A")</f>
        <v>0</v>
      </c>
    </row>
    <row r="198" spans="1:16" hidden="1" x14ac:dyDescent="0.2">
      <c r="A198">
        <f t="shared" si="3"/>
        <v>197</v>
      </c>
      <c r="B198">
        <v>97</v>
      </c>
      <c r="C198" t="s">
        <v>138</v>
      </c>
      <c r="D198" t="s">
        <v>1094</v>
      </c>
      <c r="E198" t="s">
        <v>916</v>
      </c>
      <c r="F198" t="s">
        <v>420</v>
      </c>
      <c r="G198" t="e">
        <v>#N/A</v>
      </c>
      <c r="H198">
        <v>5</v>
      </c>
      <c r="I198" t="e">
        <v>#N/A</v>
      </c>
      <c r="J198" s="1" t="e">
        <v>#N/A</v>
      </c>
      <c r="K198" s="1">
        <v>1.48</v>
      </c>
      <c r="L198" t="s">
        <v>1095</v>
      </c>
      <c r="M198" t="e">
        <v>#N/A</v>
      </c>
      <c r="N198">
        <f>2000+RIGHT(Table1[[#This Row],[Release Date]],2)</f>
        <v>2011</v>
      </c>
      <c r="O198">
        <f>_xlfn.MAXIFS(Table1[[#This Row],[Total Shipped]]:Table1[[#This Row],[Total Sales]],Table1[[#This Row],[Total Shipped]]:Table1[[#This Row],[Total Sales]],"&lt;&gt;#N/A")</f>
        <v>1.48</v>
      </c>
      <c r="P198">
        <f>_xlfn.MAXIFS(Table1[[#This Row],[VGChartz Score]:[User Score]],Table1[[#This Row],[VGChartz Score]:[User Score]],"&lt;&gt;#N/A")</f>
        <v>5</v>
      </c>
    </row>
    <row r="199" spans="1:16" hidden="1" x14ac:dyDescent="0.2">
      <c r="A199">
        <f t="shared" si="3"/>
        <v>198</v>
      </c>
      <c r="B199">
        <v>98</v>
      </c>
      <c r="C199" t="s">
        <v>138</v>
      </c>
      <c r="D199" t="s">
        <v>1096</v>
      </c>
      <c r="E199" t="s">
        <v>916</v>
      </c>
      <c r="F199" t="s">
        <v>1097</v>
      </c>
      <c r="G199" t="e">
        <v>#N/A</v>
      </c>
      <c r="H199" t="e">
        <v>#N/A</v>
      </c>
      <c r="I199" t="e">
        <v>#N/A</v>
      </c>
      <c r="J199" s="2">
        <v>1.48</v>
      </c>
      <c r="K199" s="2" t="e">
        <v>#N/A</v>
      </c>
      <c r="L199" t="s">
        <v>1098</v>
      </c>
      <c r="M199" t="e">
        <v>#N/A</v>
      </c>
      <c r="N199">
        <f>2000+RIGHT(Table1[[#This Row],[Release Date]],2)</f>
        <v>2006</v>
      </c>
      <c r="O199">
        <f>_xlfn.MAXIFS(Table1[[#This Row],[Total Shipped]]:Table1[[#This Row],[Total Sales]],Table1[[#This Row],[Total Shipped]]:Table1[[#This Row],[Total Sales]],"&lt;&gt;#N/A")</f>
        <v>1.48</v>
      </c>
      <c r="P199">
        <f>_xlfn.MAXIFS(Table1[[#This Row],[VGChartz Score]:[User Score]],Table1[[#This Row],[VGChartz Score]:[User Score]],"&lt;&gt;#N/A")</f>
        <v>0</v>
      </c>
    </row>
    <row r="200" spans="1:16" hidden="1" x14ac:dyDescent="0.2">
      <c r="A200">
        <f t="shared" si="3"/>
        <v>199</v>
      </c>
      <c r="B200">
        <v>99</v>
      </c>
      <c r="C200" t="s">
        <v>138</v>
      </c>
      <c r="D200" t="s">
        <v>1099</v>
      </c>
      <c r="E200" t="s">
        <v>916</v>
      </c>
      <c r="F200" t="s">
        <v>151</v>
      </c>
      <c r="G200" t="e">
        <v>#N/A</v>
      </c>
      <c r="H200" t="e">
        <v>#N/A</v>
      </c>
      <c r="I200" t="e">
        <v>#N/A</v>
      </c>
      <c r="J200" s="1" t="e">
        <v>#N/A</v>
      </c>
      <c r="K200" s="1">
        <v>1.47</v>
      </c>
      <c r="L200" t="s">
        <v>655</v>
      </c>
      <c r="M200" t="e">
        <v>#N/A</v>
      </c>
      <c r="N200">
        <f>2000+RIGHT(Table1[[#This Row],[Release Date]],2)</f>
        <v>2007</v>
      </c>
      <c r="O200">
        <f>_xlfn.MAXIFS(Table1[[#This Row],[Total Shipped]]:Table1[[#This Row],[Total Sales]],Table1[[#This Row],[Total Shipped]]:Table1[[#This Row],[Total Sales]],"&lt;&gt;#N/A")</f>
        <v>1.47</v>
      </c>
      <c r="P200">
        <f>_xlfn.MAXIFS(Table1[[#This Row],[VGChartz Score]:[User Score]],Table1[[#This Row],[VGChartz Score]:[User Score]],"&lt;&gt;#N/A")</f>
        <v>0</v>
      </c>
    </row>
    <row r="201" spans="1:16" hidden="1" x14ac:dyDescent="0.2">
      <c r="A201">
        <f t="shared" si="3"/>
        <v>200</v>
      </c>
      <c r="B201">
        <v>100</v>
      </c>
      <c r="C201" t="s">
        <v>138</v>
      </c>
      <c r="D201" t="s">
        <v>1100</v>
      </c>
      <c r="E201" t="s">
        <v>916</v>
      </c>
      <c r="F201" t="s">
        <v>420</v>
      </c>
      <c r="G201">
        <v>8.9</v>
      </c>
      <c r="H201">
        <v>7.9</v>
      </c>
      <c r="I201" t="e">
        <v>#N/A</v>
      </c>
      <c r="J201" s="2" t="e">
        <v>#N/A</v>
      </c>
      <c r="K201" s="2">
        <v>1.47</v>
      </c>
      <c r="L201" t="s">
        <v>640</v>
      </c>
      <c r="M201" t="e">
        <v>#N/A</v>
      </c>
      <c r="N201">
        <f>2000+RIGHT(Table1[[#This Row],[Release Date]],2)</f>
        <v>2010</v>
      </c>
      <c r="O201">
        <f>_xlfn.MAXIFS(Table1[[#This Row],[Total Shipped]]:Table1[[#This Row],[Total Sales]],Table1[[#This Row],[Total Shipped]]:Table1[[#This Row],[Total Sales]],"&lt;&gt;#N/A")</f>
        <v>1.47</v>
      </c>
      <c r="P201">
        <f>_xlfn.MAXIFS(Table1[[#This Row],[VGChartz Score]:[User Score]],Table1[[#This Row],[VGChartz Score]:[User Score]],"&lt;&gt;#N/A")</f>
        <v>8.9</v>
      </c>
    </row>
    <row r="202" spans="1:16" hidden="1" x14ac:dyDescent="0.2">
      <c r="A202">
        <f t="shared" si="3"/>
        <v>201</v>
      </c>
      <c r="B202">
        <v>1</v>
      </c>
      <c r="C202" t="s">
        <v>138</v>
      </c>
      <c r="D202" t="s">
        <v>1101</v>
      </c>
      <c r="E202" t="s">
        <v>1102</v>
      </c>
      <c r="F202" t="s">
        <v>1</v>
      </c>
      <c r="G202">
        <v>9</v>
      </c>
      <c r="H202">
        <v>8.1999999999999993</v>
      </c>
      <c r="I202" t="e">
        <v>#N/A</v>
      </c>
      <c r="J202" s="1">
        <v>18.989999999999998</v>
      </c>
      <c r="K202" s="1" t="e">
        <v>#N/A</v>
      </c>
      <c r="L202" t="s">
        <v>1103</v>
      </c>
      <c r="M202" t="e">
        <v>#N/A</v>
      </c>
      <c r="N202">
        <f>2000+RIGHT(Table1[[#This Row],[Release Date]],2)</f>
        <v>2011</v>
      </c>
      <c r="O202">
        <f>_xlfn.MAXIFS(Table1[[#This Row],[Total Shipped]]:Table1[[#This Row],[Total Sales]],Table1[[#This Row],[Total Shipped]]:Table1[[#This Row],[Total Sales]],"&lt;&gt;#N/A")</f>
        <v>18.989999999999998</v>
      </c>
      <c r="P202">
        <f>_xlfn.MAXIFS(Table1[[#This Row],[VGChartz Score]:[User Score]],Table1[[#This Row],[VGChartz Score]:[User Score]],"&lt;&gt;#N/A")</f>
        <v>9</v>
      </c>
    </row>
    <row r="203" spans="1:16" hidden="1" x14ac:dyDescent="0.2">
      <c r="A203">
        <f t="shared" si="3"/>
        <v>202</v>
      </c>
      <c r="B203">
        <v>2</v>
      </c>
      <c r="C203" t="s">
        <v>138</v>
      </c>
      <c r="D203" t="s">
        <v>1104</v>
      </c>
      <c r="E203" t="s">
        <v>1102</v>
      </c>
      <c r="F203" t="s">
        <v>1</v>
      </c>
      <c r="G203">
        <v>8.6999999999999993</v>
      </c>
      <c r="H203">
        <v>8.9</v>
      </c>
      <c r="I203">
        <v>9.3000000000000007</v>
      </c>
      <c r="J203" s="2">
        <v>16.78</v>
      </c>
      <c r="K203" s="2" t="e">
        <v>#N/A</v>
      </c>
      <c r="L203" t="s">
        <v>1105</v>
      </c>
      <c r="M203" t="s">
        <v>634</v>
      </c>
      <c r="N203">
        <f>2000+RIGHT(Table1[[#This Row],[Release Date]],2)</f>
        <v>2013</v>
      </c>
      <c r="O203">
        <f>_xlfn.MAXIFS(Table1[[#This Row],[Total Shipped]]:Table1[[#This Row],[Total Sales]],Table1[[#This Row],[Total Shipped]]:Table1[[#This Row],[Total Sales]],"&lt;&gt;#N/A")</f>
        <v>16.78</v>
      </c>
      <c r="P203">
        <f>_xlfn.MAXIFS(Table1[[#This Row],[VGChartz Score]:[User Score]],Table1[[#This Row],[VGChartz Score]:[User Score]],"&lt;&gt;#N/A")</f>
        <v>9.3000000000000007</v>
      </c>
    </row>
    <row r="204" spans="1:16" hidden="1" x14ac:dyDescent="0.2">
      <c r="A204">
        <f t="shared" si="3"/>
        <v>203</v>
      </c>
      <c r="B204">
        <v>3</v>
      </c>
      <c r="C204" t="s">
        <v>138</v>
      </c>
      <c r="D204" t="s">
        <v>1106</v>
      </c>
      <c r="E204" t="s">
        <v>1102</v>
      </c>
      <c r="F204" t="s">
        <v>1</v>
      </c>
      <c r="G204" t="e">
        <v>#N/A</v>
      </c>
      <c r="H204">
        <v>9</v>
      </c>
      <c r="I204" t="e">
        <v>#N/A</v>
      </c>
      <c r="J204" s="1">
        <v>16.329999999999998</v>
      </c>
      <c r="K204" s="1" t="e">
        <v>#N/A</v>
      </c>
      <c r="L204" t="s">
        <v>1107</v>
      </c>
      <c r="M204" t="s">
        <v>1108</v>
      </c>
      <c r="N204">
        <f>2000+RIGHT(Table1[[#This Row],[Release Date]],2)</f>
        <v>2016</v>
      </c>
      <c r="O204">
        <f>_xlfn.MAXIFS(Table1[[#This Row],[Total Shipped]]:Table1[[#This Row],[Total Sales]],Table1[[#This Row],[Total Shipped]]:Table1[[#This Row],[Total Sales]],"&lt;&gt;#N/A")</f>
        <v>16.329999999999998</v>
      </c>
      <c r="P204">
        <f>_xlfn.MAXIFS(Table1[[#This Row],[VGChartz Score]:[User Score]],Table1[[#This Row],[VGChartz Score]:[User Score]],"&lt;&gt;#N/A")</f>
        <v>9</v>
      </c>
    </row>
    <row r="205" spans="1:16" hidden="1" x14ac:dyDescent="0.2">
      <c r="A205">
        <f t="shared" si="3"/>
        <v>204</v>
      </c>
      <c r="B205">
        <v>4</v>
      </c>
      <c r="C205" t="s">
        <v>138</v>
      </c>
      <c r="D205" t="s">
        <v>1109</v>
      </c>
      <c r="E205" t="s">
        <v>1102</v>
      </c>
      <c r="F205" t="s">
        <v>1</v>
      </c>
      <c r="G205" t="e">
        <v>#N/A</v>
      </c>
      <c r="H205" t="e">
        <v>#N/A</v>
      </c>
      <c r="I205" t="e">
        <v>#N/A</v>
      </c>
      <c r="J205" s="2">
        <v>14.67</v>
      </c>
      <c r="K205" s="2" t="e">
        <v>#N/A</v>
      </c>
      <c r="L205" t="s">
        <v>1110</v>
      </c>
      <c r="M205" t="s">
        <v>1108</v>
      </c>
      <c r="N205">
        <f>2000+RIGHT(Table1[[#This Row],[Release Date]],2)</f>
        <v>2014</v>
      </c>
      <c r="O205">
        <f>_xlfn.MAXIFS(Table1[[#This Row],[Total Shipped]]:Table1[[#This Row],[Total Sales]],Table1[[#This Row],[Total Shipped]]:Table1[[#This Row],[Total Sales]],"&lt;&gt;#N/A")</f>
        <v>14.67</v>
      </c>
      <c r="P205">
        <f>_xlfn.MAXIFS(Table1[[#This Row],[VGChartz Score]:[User Score]],Table1[[#This Row],[VGChartz Score]:[User Score]],"&lt;&gt;#N/A")</f>
        <v>0</v>
      </c>
    </row>
    <row r="206" spans="1:16" hidden="1" x14ac:dyDescent="0.2">
      <c r="A206">
        <f t="shared" si="3"/>
        <v>205</v>
      </c>
      <c r="B206">
        <v>5</v>
      </c>
      <c r="C206" t="s">
        <v>138</v>
      </c>
      <c r="D206" t="s">
        <v>1111</v>
      </c>
      <c r="E206" t="s">
        <v>1102</v>
      </c>
      <c r="F206" t="s">
        <v>1</v>
      </c>
      <c r="G206">
        <v>7.6</v>
      </c>
      <c r="H206">
        <v>7.5</v>
      </c>
      <c r="I206" t="e">
        <v>#N/A</v>
      </c>
      <c r="J206" s="1">
        <v>13.42</v>
      </c>
      <c r="K206" s="1" t="e">
        <v>#N/A</v>
      </c>
      <c r="L206" t="s">
        <v>1112</v>
      </c>
      <c r="M206" t="s">
        <v>429</v>
      </c>
      <c r="N206">
        <f>2000+RIGHT(Table1[[#This Row],[Release Date]],2)</f>
        <v>2012</v>
      </c>
      <c r="O206">
        <f>_xlfn.MAXIFS(Table1[[#This Row],[Total Shipped]]:Table1[[#This Row],[Total Sales]],Table1[[#This Row],[Total Shipped]]:Table1[[#This Row],[Total Sales]],"&lt;&gt;#N/A")</f>
        <v>13.42</v>
      </c>
      <c r="P206">
        <f>_xlfn.MAXIFS(Table1[[#This Row],[VGChartz Score]:[User Score]],Table1[[#This Row],[VGChartz Score]:[User Score]],"&lt;&gt;#N/A")</f>
        <v>7.6</v>
      </c>
    </row>
    <row r="207" spans="1:16" hidden="1" x14ac:dyDescent="0.2">
      <c r="A207">
        <f t="shared" si="3"/>
        <v>206</v>
      </c>
      <c r="B207">
        <v>6</v>
      </c>
      <c r="C207" t="s">
        <v>138</v>
      </c>
      <c r="D207" t="s">
        <v>1113</v>
      </c>
      <c r="E207" t="s">
        <v>1102</v>
      </c>
      <c r="F207" t="s">
        <v>1</v>
      </c>
      <c r="G207">
        <v>9</v>
      </c>
      <c r="H207">
        <v>8.6</v>
      </c>
      <c r="I207" t="e">
        <v>#N/A</v>
      </c>
      <c r="J207" s="2">
        <v>13.06</v>
      </c>
      <c r="K207" s="2" t="e">
        <v>#N/A</v>
      </c>
      <c r="L207" t="s">
        <v>1114</v>
      </c>
      <c r="M207" t="s">
        <v>1115</v>
      </c>
      <c r="N207">
        <f>2000+RIGHT(Table1[[#This Row],[Release Date]],2)</f>
        <v>2013</v>
      </c>
      <c r="O207">
        <f>_xlfn.MAXIFS(Table1[[#This Row],[Total Shipped]]:Table1[[#This Row],[Total Sales]],Table1[[#This Row],[Total Shipped]]:Table1[[#This Row],[Total Sales]],"&lt;&gt;#N/A")</f>
        <v>13.06</v>
      </c>
      <c r="P207">
        <f>_xlfn.MAXIFS(Table1[[#This Row],[VGChartz Score]:[User Score]],Table1[[#This Row],[VGChartz Score]:[User Score]],"&lt;&gt;#N/A")</f>
        <v>9</v>
      </c>
    </row>
    <row r="208" spans="1:16" hidden="1" x14ac:dyDescent="0.2">
      <c r="A208">
        <f t="shared" si="3"/>
        <v>207</v>
      </c>
      <c r="B208">
        <v>7</v>
      </c>
      <c r="C208" t="s">
        <v>138</v>
      </c>
      <c r="D208" t="s">
        <v>1116</v>
      </c>
      <c r="E208" t="s">
        <v>1102</v>
      </c>
      <c r="F208" t="s">
        <v>1</v>
      </c>
      <c r="G208">
        <v>9.1</v>
      </c>
      <c r="H208">
        <v>8.9</v>
      </c>
      <c r="I208" t="e">
        <v>#N/A</v>
      </c>
      <c r="J208" s="1">
        <v>12.89</v>
      </c>
      <c r="K208" s="1" t="e">
        <v>#N/A</v>
      </c>
      <c r="L208" t="s">
        <v>1117</v>
      </c>
      <c r="M208" t="s">
        <v>550</v>
      </c>
      <c r="N208">
        <f>2000+RIGHT(Table1[[#This Row],[Release Date]],2)</f>
        <v>2011</v>
      </c>
      <c r="O208">
        <f>_xlfn.MAXIFS(Table1[[#This Row],[Total Shipped]]:Table1[[#This Row],[Total Sales]],Table1[[#This Row],[Total Shipped]]:Table1[[#This Row],[Total Sales]],"&lt;&gt;#N/A")</f>
        <v>12.89</v>
      </c>
      <c r="P208">
        <f>_xlfn.MAXIFS(Table1[[#This Row],[VGChartz Score]:[User Score]],Table1[[#This Row],[VGChartz Score]:[User Score]],"&lt;&gt;#N/A")</f>
        <v>9.1</v>
      </c>
    </row>
    <row r="209" spans="1:16" hidden="1" x14ac:dyDescent="0.2">
      <c r="A209">
        <f t="shared" si="3"/>
        <v>208</v>
      </c>
      <c r="B209">
        <v>8</v>
      </c>
      <c r="C209" t="s">
        <v>138</v>
      </c>
      <c r="D209" t="s">
        <v>1118</v>
      </c>
      <c r="E209" t="s">
        <v>1102</v>
      </c>
      <c r="F209" t="s">
        <v>1</v>
      </c>
      <c r="G209">
        <v>8.6</v>
      </c>
      <c r="H209">
        <v>8.4</v>
      </c>
      <c r="I209" t="e">
        <v>#N/A</v>
      </c>
      <c r="J209" s="2">
        <v>9.65</v>
      </c>
      <c r="K209" s="2" t="e">
        <v>#N/A</v>
      </c>
      <c r="L209" t="s">
        <v>1119</v>
      </c>
      <c r="M209" t="s">
        <v>1120</v>
      </c>
      <c r="N209">
        <f>2000+RIGHT(Table1[[#This Row],[Release Date]],2)</f>
        <v>2014</v>
      </c>
      <c r="O209">
        <f>_xlfn.MAXIFS(Table1[[#This Row],[Total Shipped]]:Table1[[#This Row],[Total Sales]],Table1[[#This Row],[Total Shipped]]:Table1[[#This Row],[Total Sales]],"&lt;&gt;#N/A")</f>
        <v>9.65</v>
      </c>
      <c r="P209">
        <f>_xlfn.MAXIFS(Table1[[#This Row],[VGChartz Score]:[User Score]],Table1[[#This Row],[VGChartz Score]:[User Score]],"&lt;&gt;#N/A")</f>
        <v>8.6</v>
      </c>
    </row>
    <row r="210" spans="1:16" hidden="1" x14ac:dyDescent="0.2">
      <c r="A210">
        <f t="shared" si="3"/>
        <v>209</v>
      </c>
      <c r="B210">
        <v>9</v>
      </c>
      <c r="C210" t="s">
        <v>138</v>
      </c>
      <c r="D210" t="s">
        <v>1121</v>
      </c>
      <c r="E210" t="s">
        <v>1102</v>
      </c>
      <c r="F210" t="s">
        <v>1</v>
      </c>
      <c r="G210" t="e">
        <v>#N/A</v>
      </c>
      <c r="H210">
        <v>8.1</v>
      </c>
      <c r="I210" t="e">
        <v>#N/A</v>
      </c>
      <c r="J210" s="1">
        <v>9.26</v>
      </c>
      <c r="K210" s="1" t="e">
        <v>#N/A</v>
      </c>
      <c r="L210" t="s">
        <v>223</v>
      </c>
      <c r="M210" t="s">
        <v>1108</v>
      </c>
      <c r="N210">
        <f>2000+RIGHT(Table1[[#This Row],[Release Date]],2)</f>
        <v>2017</v>
      </c>
      <c r="O210">
        <f>_xlfn.MAXIFS(Table1[[#This Row],[Total Shipped]]:Table1[[#This Row],[Total Sales]],Table1[[#This Row],[Total Shipped]]:Table1[[#This Row],[Total Sales]],"&lt;&gt;#N/A")</f>
        <v>9.26</v>
      </c>
      <c r="P210">
        <f>_xlfn.MAXIFS(Table1[[#This Row],[VGChartz Score]:[User Score]],Table1[[#This Row],[VGChartz Score]:[User Score]],"&lt;&gt;#N/A")</f>
        <v>8.1</v>
      </c>
    </row>
    <row r="211" spans="1:16" hidden="1" x14ac:dyDescent="0.2">
      <c r="A211">
        <f t="shared" si="3"/>
        <v>210</v>
      </c>
      <c r="B211">
        <v>10</v>
      </c>
      <c r="C211" t="s">
        <v>138</v>
      </c>
      <c r="D211" t="s">
        <v>1122</v>
      </c>
      <c r="E211" t="s">
        <v>1102</v>
      </c>
      <c r="F211" t="s">
        <v>1</v>
      </c>
      <c r="G211" t="e">
        <v>#N/A</v>
      </c>
      <c r="H211" t="e">
        <v>#N/A</v>
      </c>
      <c r="I211" t="e">
        <v>#N/A</v>
      </c>
      <c r="J211" s="2">
        <v>7.3</v>
      </c>
      <c r="K211" s="2" t="e">
        <v>#N/A</v>
      </c>
      <c r="L211" t="s">
        <v>1123</v>
      </c>
      <c r="M211" t="s">
        <v>166</v>
      </c>
      <c r="N211">
        <f>2000+RIGHT(Table1[[#This Row],[Release Date]],2)</f>
        <v>2016</v>
      </c>
      <c r="O211">
        <f>_xlfn.MAXIFS(Table1[[#This Row],[Total Shipped]]:Table1[[#This Row],[Total Sales]],Table1[[#This Row],[Total Shipped]]:Table1[[#This Row],[Total Sales]],"&lt;&gt;#N/A")</f>
        <v>7.3</v>
      </c>
      <c r="P211">
        <f>_xlfn.MAXIFS(Table1[[#This Row],[VGChartz Score]:[User Score]],Table1[[#This Row],[VGChartz Score]:[User Score]],"&lt;&gt;#N/A")</f>
        <v>0</v>
      </c>
    </row>
    <row r="212" spans="1:16" hidden="1" x14ac:dyDescent="0.2">
      <c r="A212">
        <f t="shared" si="3"/>
        <v>211</v>
      </c>
      <c r="B212">
        <v>11</v>
      </c>
      <c r="C212" t="s">
        <v>138</v>
      </c>
      <c r="D212" t="s">
        <v>1124</v>
      </c>
      <c r="E212" t="s">
        <v>1102</v>
      </c>
      <c r="F212" t="s">
        <v>1</v>
      </c>
      <c r="G212" t="e">
        <v>#N/A</v>
      </c>
      <c r="H212">
        <v>7.8</v>
      </c>
      <c r="I212" t="e">
        <v>#N/A</v>
      </c>
      <c r="J212" s="1">
        <v>6.72</v>
      </c>
      <c r="K212" s="1" t="e">
        <v>#N/A</v>
      </c>
      <c r="L212" t="s">
        <v>1125</v>
      </c>
      <c r="M212" t="s">
        <v>693</v>
      </c>
      <c r="N212">
        <f>2000+RIGHT(Table1[[#This Row],[Release Date]],2)</f>
        <v>2014</v>
      </c>
      <c r="O212">
        <f>_xlfn.MAXIFS(Table1[[#This Row],[Total Shipped]]:Table1[[#This Row],[Total Sales]],Table1[[#This Row],[Total Shipped]]:Table1[[#This Row],[Total Sales]],"&lt;&gt;#N/A")</f>
        <v>6.72</v>
      </c>
      <c r="P212">
        <f>_xlfn.MAXIFS(Table1[[#This Row],[VGChartz Score]:[User Score]],Table1[[#This Row],[VGChartz Score]:[User Score]],"&lt;&gt;#N/A")</f>
        <v>7.8</v>
      </c>
    </row>
    <row r="213" spans="1:16" hidden="1" x14ac:dyDescent="0.2">
      <c r="A213">
        <f t="shared" si="3"/>
        <v>212</v>
      </c>
      <c r="B213">
        <v>12</v>
      </c>
      <c r="C213" t="s">
        <v>138</v>
      </c>
      <c r="D213" t="s">
        <v>1126</v>
      </c>
      <c r="E213" t="s">
        <v>1102</v>
      </c>
      <c r="F213" t="s">
        <v>1</v>
      </c>
      <c r="G213">
        <v>7</v>
      </c>
      <c r="H213">
        <v>8.6</v>
      </c>
      <c r="I213" t="e">
        <v>#N/A</v>
      </c>
      <c r="J213" s="2">
        <v>6.48</v>
      </c>
      <c r="K213" s="2" t="e">
        <v>#N/A</v>
      </c>
      <c r="L213" t="s">
        <v>1127</v>
      </c>
      <c r="M213" t="s">
        <v>46</v>
      </c>
      <c r="N213">
        <f>2000+RIGHT(Table1[[#This Row],[Release Date]],2)</f>
        <v>2013</v>
      </c>
      <c r="O213">
        <f>_xlfn.MAXIFS(Table1[[#This Row],[Total Shipped]]:Table1[[#This Row],[Total Sales]],Table1[[#This Row],[Total Shipped]]:Table1[[#This Row],[Total Sales]],"&lt;&gt;#N/A")</f>
        <v>6.48</v>
      </c>
      <c r="P213">
        <f>_xlfn.MAXIFS(Table1[[#This Row],[VGChartz Score]:[User Score]],Table1[[#This Row],[VGChartz Score]:[User Score]],"&lt;&gt;#N/A")</f>
        <v>8.6</v>
      </c>
    </row>
    <row r="214" spans="1:16" hidden="1" x14ac:dyDescent="0.2">
      <c r="A214">
        <f t="shared" ref="A214:A277" si="4">ROW()-1</f>
        <v>213</v>
      </c>
      <c r="B214">
        <v>13</v>
      </c>
      <c r="C214" t="s">
        <v>138</v>
      </c>
      <c r="D214" t="s">
        <v>1128</v>
      </c>
      <c r="E214" t="s">
        <v>1102</v>
      </c>
      <c r="F214" t="s">
        <v>1</v>
      </c>
      <c r="G214">
        <v>9.1999999999999993</v>
      </c>
      <c r="H214">
        <v>9.3000000000000007</v>
      </c>
      <c r="I214" t="e">
        <v>#N/A</v>
      </c>
      <c r="J214" s="1">
        <v>6.44</v>
      </c>
      <c r="K214" s="1" t="e">
        <v>#N/A</v>
      </c>
      <c r="L214" t="s">
        <v>1129</v>
      </c>
      <c r="M214" t="e">
        <v>#N/A</v>
      </c>
      <c r="N214">
        <f>2000+RIGHT(Table1[[#This Row],[Release Date]],2)</f>
        <v>2011</v>
      </c>
      <c r="O214">
        <f>_xlfn.MAXIFS(Table1[[#This Row],[Total Shipped]]:Table1[[#This Row],[Total Sales]],Table1[[#This Row],[Total Shipped]]:Table1[[#This Row],[Total Sales]],"&lt;&gt;#N/A")</f>
        <v>6.44</v>
      </c>
      <c r="P214">
        <f>_xlfn.MAXIFS(Table1[[#This Row],[VGChartz Score]:[User Score]],Table1[[#This Row],[VGChartz Score]:[User Score]],"&lt;&gt;#N/A")</f>
        <v>9.3000000000000007</v>
      </c>
    </row>
    <row r="215" spans="1:16" hidden="1" x14ac:dyDescent="0.2">
      <c r="A215">
        <f t="shared" si="4"/>
        <v>214</v>
      </c>
      <c r="B215">
        <v>14</v>
      </c>
      <c r="C215" t="s">
        <v>138</v>
      </c>
      <c r="D215" t="s">
        <v>1130</v>
      </c>
      <c r="E215" t="s">
        <v>1102</v>
      </c>
      <c r="F215" t="s">
        <v>1</v>
      </c>
      <c r="G215">
        <v>7.7</v>
      </c>
      <c r="H215">
        <v>7.2</v>
      </c>
      <c r="I215" t="e">
        <v>#N/A</v>
      </c>
      <c r="J215" s="2">
        <v>4.6900000000000004</v>
      </c>
      <c r="K215" s="2" t="e">
        <v>#N/A</v>
      </c>
      <c r="L215" t="s">
        <v>1131</v>
      </c>
      <c r="M215" t="e">
        <v>#N/A</v>
      </c>
      <c r="N215">
        <f>2000+RIGHT(Table1[[#This Row],[Release Date]],2)</f>
        <v>2011</v>
      </c>
      <c r="O215">
        <f>_xlfn.MAXIFS(Table1[[#This Row],[Total Shipped]]:Table1[[#This Row],[Total Sales]],Table1[[#This Row],[Total Shipped]]:Table1[[#This Row],[Total Sales]],"&lt;&gt;#N/A")</f>
        <v>4.6900000000000004</v>
      </c>
      <c r="P215">
        <f>_xlfn.MAXIFS(Table1[[#This Row],[VGChartz Score]:[User Score]],Table1[[#This Row],[VGChartz Score]:[User Score]],"&lt;&gt;#N/A")</f>
        <v>7.7</v>
      </c>
    </row>
    <row r="216" spans="1:16" hidden="1" x14ac:dyDescent="0.2">
      <c r="A216">
        <f t="shared" si="4"/>
        <v>215</v>
      </c>
      <c r="B216">
        <v>15</v>
      </c>
      <c r="C216" t="s">
        <v>138</v>
      </c>
      <c r="D216" t="s">
        <v>1132</v>
      </c>
      <c r="E216" t="s">
        <v>1102</v>
      </c>
      <c r="F216" t="s">
        <v>69</v>
      </c>
      <c r="G216" t="e">
        <v>#N/A</v>
      </c>
      <c r="H216">
        <v>8.8000000000000007</v>
      </c>
      <c r="I216" t="e">
        <v>#N/A</v>
      </c>
      <c r="J216" s="1">
        <v>4.3</v>
      </c>
      <c r="K216" s="1" t="e">
        <v>#N/A</v>
      </c>
      <c r="L216" t="s">
        <v>1133</v>
      </c>
      <c r="M216" t="s">
        <v>429</v>
      </c>
      <c r="N216">
        <f>2000+RIGHT(Table1[[#This Row],[Release Date]],2)</f>
        <v>2016</v>
      </c>
      <c r="O216">
        <f>_xlfn.MAXIFS(Table1[[#This Row],[Total Shipped]]:Table1[[#This Row],[Total Sales]],Table1[[#This Row],[Total Shipped]]:Table1[[#This Row],[Total Sales]],"&lt;&gt;#N/A")</f>
        <v>4.3</v>
      </c>
      <c r="P216">
        <f>_xlfn.MAXIFS(Table1[[#This Row],[VGChartz Score]:[User Score]],Table1[[#This Row],[VGChartz Score]:[User Score]],"&lt;&gt;#N/A")</f>
        <v>8.8000000000000007</v>
      </c>
    </row>
    <row r="217" spans="1:16" hidden="1" x14ac:dyDescent="0.2">
      <c r="A217">
        <f t="shared" si="4"/>
        <v>216</v>
      </c>
      <c r="B217">
        <v>16</v>
      </c>
      <c r="C217" t="s">
        <v>138</v>
      </c>
      <c r="D217" t="s">
        <v>1134</v>
      </c>
      <c r="E217" t="s">
        <v>1102</v>
      </c>
      <c r="F217" t="s">
        <v>1</v>
      </c>
      <c r="G217">
        <v>9</v>
      </c>
      <c r="H217">
        <v>9.3000000000000007</v>
      </c>
      <c r="I217" t="e">
        <v>#N/A</v>
      </c>
      <c r="J217" s="2">
        <v>4.24</v>
      </c>
      <c r="K217" s="2" t="e">
        <v>#N/A</v>
      </c>
      <c r="L217" t="s">
        <v>1135</v>
      </c>
      <c r="M217" t="s">
        <v>693</v>
      </c>
      <c r="N217">
        <f>2000+RIGHT(Table1[[#This Row],[Release Date]],2)</f>
        <v>2013</v>
      </c>
      <c r="O217">
        <f>_xlfn.MAXIFS(Table1[[#This Row],[Total Shipped]]:Table1[[#This Row],[Total Sales]],Table1[[#This Row],[Total Shipped]]:Table1[[#This Row],[Total Sales]],"&lt;&gt;#N/A")</f>
        <v>4.24</v>
      </c>
      <c r="P217">
        <f>_xlfn.MAXIFS(Table1[[#This Row],[VGChartz Score]:[User Score]],Table1[[#This Row],[VGChartz Score]:[User Score]],"&lt;&gt;#N/A")</f>
        <v>9.3000000000000007</v>
      </c>
    </row>
    <row r="218" spans="1:16" hidden="1" x14ac:dyDescent="0.2">
      <c r="A218">
        <f t="shared" si="4"/>
        <v>217</v>
      </c>
      <c r="B218">
        <v>17</v>
      </c>
      <c r="C218" t="s">
        <v>138</v>
      </c>
      <c r="D218" t="s">
        <v>1136</v>
      </c>
      <c r="E218" t="s">
        <v>1102</v>
      </c>
      <c r="F218" t="s">
        <v>69</v>
      </c>
      <c r="G218" t="e">
        <v>#N/A</v>
      </c>
      <c r="H218">
        <v>8.8000000000000007</v>
      </c>
      <c r="I218" t="e">
        <v>#N/A</v>
      </c>
      <c r="J218" s="1">
        <v>4.2</v>
      </c>
      <c r="K218" s="1" t="e">
        <v>#N/A</v>
      </c>
      <c r="L218" t="s">
        <v>1137</v>
      </c>
      <c r="M218" t="s">
        <v>326</v>
      </c>
      <c r="N218">
        <f>2000+RIGHT(Table1[[#This Row],[Release Date]],2)</f>
        <v>2015</v>
      </c>
      <c r="O218">
        <f>_xlfn.MAXIFS(Table1[[#This Row],[Total Shipped]]:Table1[[#This Row],[Total Sales]],Table1[[#This Row],[Total Shipped]]:Table1[[#This Row],[Total Sales]],"&lt;&gt;#N/A")</f>
        <v>4.2</v>
      </c>
      <c r="P218">
        <f>_xlfn.MAXIFS(Table1[[#This Row],[VGChartz Score]:[User Score]],Table1[[#This Row],[VGChartz Score]:[User Score]],"&lt;&gt;#N/A")</f>
        <v>8.8000000000000007</v>
      </c>
    </row>
    <row r="219" spans="1:16" hidden="1" x14ac:dyDescent="0.2">
      <c r="A219">
        <f t="shared" si="4"/>
        <v>218</v>
      </c>
      <c r="B219">
        <v>18</v>
      </c>
      <c r="C219" t="s">
        <v>138</v>
      </c>
      <c r="D219" t="s">
        <v>1138</v>
      </c>
      <c r="E219" t="s">
        <v>1102</v>
      </c>
      <c r="F219" t="s">
        <v>69</v>
      </c>
      <c r="G219" t="e">
        <v>#N/A</v>
      </c>
      <c r="H219" t="e">
        <v>#N/A</v>
      </c>
      <c r="I219" t="e">
        <v>#N/A</v>
      </c>
      <c r="J219" s="2">
        <v>4.0999999999999996</v>
      </c>
      <c r="K219" s="2" t="e">
        <v>#N/A</v>
      </c>
      <c r="L219" t="s">
        <v>1139</v>
      </c>
      <c r="M219" t="s">
        <v>1140</v>
      </c>
      <c r="N219">
        <f>2000+RIGHT(Table1[[#This Row],[Release Date]],2)</f>
        <v>2013</v>
      </c>
      <c r="O219">
        <f>_xlfn.MAXIFS(Table1[[#This Row],[Total Shipped]]:Table1[[#This Row],[Total Sales]],Table1[[#This Row],[Total Shipped]]:Table1[[#This Row],[Total Sales]],"&lt;&gt;#N/A")</f>
        <v>4.0999999999999996</v>
      </c>
      <c r="P219">
        <f>_xlfn.MAXIFS(Table1[[#This Row],[VGChartz Score]:[User Score]],Table1[[#This Row],[VGChartz Score]:[User Score]],"&lt;&gt;#N/A")</f>
        <v>0</v>
      </c>
    </row>
    <row r="220" spans="1:16" hidden="1" x14ac:dyDescent="0.2">
      <c r="A220">
        <f t="shared" si="4"/>
        <v>219</v>
      </c>
      <c r="B220">
        <v>19</v>
      </c>
      <c r="C220" t="s">
        <v>138</v>
      </c>
      <c r="D220" t="s">
        <v>1141</v>
      </c>
      <c r="E220" t="s">
        <v>1102</v>
      </c>
      <c r="F220" t="s">
        <v>1</v>
      </c>
      <c r="G220" t="e">
        <v>#N/A</v>
      </c>
      <c r="H220">
        <v>7.3</v>
      </c>
      <c r="I220" t="e">
        <v>#N/A</v>
      </c>
      <c r="J220" s="1">
        <v>3.79</v>
      </c>
      <c r="K220" s="1" t="e">
        <v>#N/A</v>
      </c>
      <c r="L220" t="s">
        <v>1142</v>
      </c>
      <c r="M220" t="s">
        <v>1143</v>
      </c>
      <c r="N220">
        <f>2000+RIGHT(Table1[[#This Row],[Release Date]],2)</f>
        <v>2016</v>
      </c>
      <c r="O220">
        <f>_xlfn.MAXIFS(Table1[[#This Row],[Total Shipped]]:Table1[[#This Row],[Total Sales]],Table1[[#This Row],[Total Shipped]]:Table1[[#This Row],[Total Sales]],"&lt;&gt;#N/A")</f>
        <v>3.79</v>
      </c>
      <c r="P220">
        <f>_xlfn.MAXIFS(Table1[[#This Row],[VGChartz Score]:[User Score]],Table1[[#This Row],[VGChartz Score]:[User Score]],"&lt;&gt;#N/A")</f>
        <v>7.3</v>
      </c>
    </row>
    <row r="221" spans="1:16" hidden="1" x14ac:dyDescent="0.2">
      <c r="A221">
        <f t="shared" si="4"/>
        <v>220</v>
      </c>
      <c r="B221">
        <v>20</v>
      </c>
      <c r="C221" t="s">
        <v>138</v>
      </c>
      <c r="D221" t="s">
        <v>1144</v>
      </c>
      <c r="E221" t="s">
        <v>1102</v>
      </c>
      <c r="F221" t="s">
        <v>1</v>
      </c>
      <c r="G221" t="e">
        <v>#N/A</v>
      </c>
      <c r="H221">
        <v>6.6</v>
      </c>
      <c r="I221" t="e">
        <v>#N/A</v>
      </c>
      <c r="J221" s="2">
        <v>3.51</v>
      </c>
      <c r="K221" s="2" t="e">
        <v>#N/A</v>
      </c>
      <c r="L221" t="s">
        <v>1145</v>
      </c>
      <c r="M221" t="s">
        <v>312</v>
      </c>
      <c r="N221">
        <f>2000+RIGHT(Table1[[#This Row],[Release Date]],2)</f>
        <v>2015</v>
      </c>
      <c r="O221">
        <f>_xlfn.MAXIFS(Table1[[#This Row],[Total Shipped]]:Table1[[#This Row],[Total Sales]],Table1[[#This Row],[Total Shipped]]:Table1[[#This Row],[Total Sales]],"&lt;&gt;#N/A")</f>
        <v>3.51</v>
      </c>
      <c r="P221">
        <f>_xlfn.MAXIFS(Table1[[#This Row],[VGChartz Score]:[User Score]],Table1[[#This Row],[VGChartz Score]:[User Score]],"&lt;&gt;#N/A")</f>
        <v>6.6</v>
      </c>
    </row>
    <row r="222" spans="1:16" hidden="1" x14ac:dyDescent="0.2">
      <c r="A222">
        <f t="shared" si="4"/>
        <v>221</v>
      </c>
      <c r="B222">
        <v>21</v>
      </c>
      <c r="C222" t="s">
        <v>138</v>
      </c>
      <c r="D222" t="s">
        <v>1146</v>
      </c>
      <c r="E222" t="s">
        <v>1102</v>
      </c>
      <c r="F222" t="s">
        <v>1</v>
      </c>
      <c r="G222">
        <v>9</v>
      </c>
      <c r="H222">
        <v>9</v>
      </c>
      <c r="I222" t="e">
        <v>#N/A</v>
      </c>
      <c r="J222" s="1">
        <v>3.46</v>
      </c>
      <c r="K222" s="1" t="e">
        <v>#N/A</v>
      </c>
      <c r="L222" t="s">
        <v>1137</v>
      </c>
      <c r="M222" t="s">
        <v>1147</v>
      </c>
      <c r="N222">
        <f>2000+RIGHT(Table1[[#This Row],[Release Date]],2)</f>
        <v>2015</v>
      </c>
      <c r="O222">
        <f>_xlfn.MAXIFS(Table1[[#This Row],[Total Shipped]]:Table1[[#This Row],[Total Sales]],Table1[[#This Row],[Total Shipped]]:Table1[[#This Row],[Total Sales]],"&lt;&gt;#N/A")</f>
        <v>3.46</v>
      </c>
      <c r="P222">
        <f>_xlfn.MAXIFS(Table1[[#This Row],[VGChartz Score]:[User Score]],Table1[[#This Row],[VGChartz Score]:[User Score]],"&lt;&gt;#N/A")</f>
        <v>9</v>
      </c>
    </row>
    <row r="223" spans="1:16" hidden="1" x14ac:dyDescent="0.2">
      <c r="A223">
        <f t="shared" si="4"/>
        <v>222</v>
      </c>
      <c r="B223">
        <v>22</v>
      </c>
      <c r="C223" t="s">
        <v>138</v>
      </c>
      <c r="D223" t="s">
        <v>1148</v>
      </c>
      <c r="E223" t="s">
        <v>1102</v>
      </c>
      <c r="F223" t="s">
        <v>1</v>
      </c>
      <c r="G223" t="e">
        <v>#N/A</v>
      </c>
      <c r="H223" t="e">
        <v>#N/A</v>
      </c>
      <c r="I223" t="e">
        <v>#N/A</v>
      </c>
      <c r="J223" s="2">
        <v>3.09</v>
      </c>
      <c r="K223" s="2" t="e">
        <v>#N/A</v>
      </c>
      <c r="L223" t="s">
        <v>1149</v>
      </c>
      <c r="M223" t="s">
        <v>252</v>
      </c>
      <c r="N223">
        <f>2000+RIGHT(Table1[[#This Row],[Release Date]],2)</f>
        <v>2016</v>
      </c>
      <c r="O223">
        <f>_xlfn.MAXIFS(Table1[[#This Row],[Total Shipped]]:Table1[[#This Row],[Total Sales]],Table1[[#This Row],[Total Shipped]]:Table1[[#This Row],[Total Sales]],"&lt;&gt;#N/A")</f>
        <v>3.09</v>
      </c>
      <c r="P223">
        <f>_xlfn.MAXIFS(Table1[[#This Row],[VGChartz Score]:[User Score]],Table1[[#This Row],[VGChartz Score]:[User Score]],"&lt;&gt;#N/A")</f>
        <v>0</v>
      </c>
    </row>
    <row r="224" spans="1:16" hidden="1" x14ac:dyDescent="0.2">
      <c r="A224">
        <f t="shared" si="4"/>
        <v>223</v>
      </c>
      <c r="B224">
        <v>23</v>
      </c>
      <c r="C224" t="s">
        <v>138</v>
      </c>
      <c r="D224" t="s">
        <v>1150</v>
      </c>
      <c r="E224" t="s">
        <v>1102</v>
      </c>
      <c r="F224" t="s">
        <v>1</v>
      </c>
      <c r="G224">
        <v>8.8000000000000007</v>
      </c>
      <c r="H224">
        <v>8.1999999999999993</v>
      </c>
      <c r="I224" t="e">
        <v>#N/A</v>
      </c>
      <c r="J224" s="1">
        <v>3</v>
      </c>
      <c r="K224" s="1" t="e">
        <v>#N/A</v>
      </c>
      <c r="L224" t="s">
        <v>1151</v>
      </c>
      <c r="M224" t="s">
        <v>693</v>
      </c>
      <c r="N224">
        <f>2000+RIGHT(Table1[[#This Row],[Release Date]],2)</f>
        <v>2014</v>
      </c>
      <c r="O224">
        <f>_xlfn.MAXIFS(Table1[[#This Row],[Total Shipped]]:Table1[[#This Row],[Total Sales]],Table1[[#This Row],[Total Shipped]]:Table1[[#This Row],[Total Sales]],"&lt;&gt;#N/A")</f>
        <v>3</v>
      </c>
      <c r="P224">
        <f>_xlfn.MAXIFS(Table1[[#This Row],[VGChartz Score]:[User Score]],Table1[[#This Row],[VGChartz Score]:[User Score]],"&lt;&gt;#N/A")</f>
        <v>8.8000000000000007</v>
      </c>
    </row>
    <row r="225" spans="1:16" hidden="1" x14ac:dyDescent="0.2">
      <c r="A225">
        <f t="shared" si="4"/>
        <v>224</v>
      </c>
      <c r="B225">
        <v>24</v>
      </c>
      <c r="C225" t="s">
        <v>138</v>
      </c>
      <c r="D225" t="s">
        <v>1152</v>
      </c>
      <c r="E225" t="s">
        <v>1102</v>
      </c>
      <c r="F225" t="s">
        <v>1</v>
      </c>
      <c r="G225" t="e">
        <v>#N/A</v>
      </c>
      <c r="H225">
        <v>7.7</v>
      </c>
      <c r="I225" t="e">
        <v>#N/A</v>
      </c>
      <c r="J225" s="2">
        <v>2.97</v>
      </c>
      <c r="K225" s="2" t="e">
        <v>#N/A</v>
      </c>
      <c r="L225" t="s">
        <v>311</v>
      </c>
      <c r="M225" t="s">
        <v>693</v>
      </c>
      <c r="N225">
        <f>2000+RIGHT(Table1[[#This Row],[Release Date]],2)</f>
        <v>2015</v>
      </c>
      <c r="O225">
        <f>_xlfn.MAXIFS(Table1[[#This Row],[Total Shipped]]:Table1[[#This Row],[Total Sales]],Table1[[#This Row],[Total Shipped]]:Table1[[#This Row],[Total Sales]],"&lt;&gt;#N/A")</f>
        <v>2.97</v>
      </c>
      <c r="P225">
        <f>_xlfn.MAXIFS(Table1[[#This Row],[VGChartz Score]:[User Score]],Table1[[#This Row],[VGChartz Score]:[User Score]],"&lt;&gt;#N/A")</f>
        <v>7.7</v>
      </c>
    </row>
    <row r="226" spans="1:16" hidden="1" x14ac:dyDescent="0.2">
      <c r="A226">
        <f t="shared" si="4"/>
        <v>225</v>
      </c>
      <c r="B226">
        <v>25</v>
      </c>
      <c r="C226" t="s">
        <v>138</v>
      </c>
      <c r="D226" t="s">
        <v>1153</v>
      </c>
      <c r="E226" t="s">
        <v>1102</v>
      </c>
      <c r="F226" t="s">
        <v>1</v>
      </c>
      <c r="G226">
        <v>6.8</v>
      </c>
      <c r="H226">
        <v>5.5</v>
      </c>
      <c r="I226" t="e">
        <v>#N/A</v>
      </c>
      <c r="J226" s="1">
        <v>2.95</v>
      </c>
      <c r="K226" s="1" t="e">
        <v>#N/A</v>
      </c>
      <c r="L226" t="s">
        <v>1135</v>
      </c>
      <c r="M226" t="s">
        <v>1154</v>
      </c>
      <c r="N226">
        <f>2000+RIGHT(Table1[[#This Row],[Release Date]],2)</f>
        <v>2013</v>
      </c>
      <c r="O226">
        <f>_xlfn.MAXIFS(Table1[[#This Row],[Total Shipped]]:Table1[[#This Row],[Total Sales]],Table1[[#This Row],[Total Shipped]]:Table1[[#This Row],[Total Sales]],"&lt;&gt;#N/A")</f>
        <v>2.95</v>
      </c>
      <c r="P226">
        <f>_xlfn.MAXIFS(Table1[[#This Row],[VGChartz Score]:[User Score]],Table1[[#This Row],[VGChartz Score]:[User Score]],"&lt;&gt;#N/A")</f>
        <v>6.8</v>
      </c>
    </row>
    <row r="227" spans="1:16" hidden="1" x14ac:dyDescent="0.2">
      <c r="A227">
        <f t="shared" si="4"/>
        <v>226</v>
      </c>
      <c r="B227">
        <v>26</v>
      </c>
      <c r="C227" t="s">
        <v>138</v>
      </c>
      <c r="D227" t="s">
        <v>1155</v>
      </c>
      <c r="E227" t="s">
        <v>1102</v>
      </c>
      <c r="F227" t="s">
        <v>1</v>
      </c>
      <c r="G227">
        <v>8.8000000000000007</v>
      </c>
      <c r="H227">
        <v>8.6</v>
      </c>
      <c r="I227" t="e">
        <v>#N/A</v>
      </c>
      <c r="J227" s="2">
        <v>2.94</v>
      </c>
      <c r="K227" s="2" t="e">
        <v>#N/A</v>
      </c>
      <c r="L227" t="s">
        <v>1156</v>
      </c>
      <c r="M227" t="s">
        <v>130</v>
      </c>
      <c r="N227">
        <f>2000+RIGHT(Table1[[#This Row],[Release Date]],2)</f>
        <v>2013</v>
      </c>
      <c r="O227">
        <f>_xlfn.MAXIFS(Table1[[#This Row],[Total Shipped]]:Table1[[#This Row],[Total Sales]],Table1[[#This Row],[Total Shipped]]:Table1[[#This Row],[Total Sales]],"&lt;&gt;#N/A")</f>
        <v>2.94</v>
      </c>
      <c r="P227">
        <f>_xlfn.MAXIFS(Table1[[#This Row],[VGChartz Score]:[User Score]],Table1[[#This Row],[VGChartz Score]:[User Score]],"&lt;&gt;#N/A")</f>
        <v>8.8000000000000007</v>
      </c>
    </row>
    <row r="228" spans="1:16" hidden="1" x14ac:dyDescent="0.2">
      <c r="A228">
        <f t="shared" si="4"/>
        <v>227</v>
      </c>
      <c r="B228">
        <v>27</v>
      </c>
      <c r="C228" t="s">
        <v>138</v>
      </c>
      <c r="D228" t="s">
        <v>1157</v>
      </c>
      <c r="E228" t="s">
        <v>1102</v>
      </c>
      <c r="F228" t="s">
        <v>1</v>
      </c>
      <c r="G228">
        <v>7.8</v>
      </c>
      <c r="H228">
        <v>8</v>
      </c>
      <c r="I228" t="e">
        <v>#N/A</v>
      </c>
      <c r="J228" s="1">
        <v>2.7</v>
      </c>
      <c r="K228" s="1" t="e">
        <v>#N/A</v>
      </c>
      <c r="L228" t="s">
        <v>1158</v>
      </c>
      <c r="M228" t="s">
        <v>1159</v>
      </c>
      <c r="N228">
        <f>2000+RIGHT(Table1[[#This Row],[Release Date]],2)</f>
        <v>2013</v>
      </c>
      <c r="O228">
        <f>_xlfn.MAXIFS(Table1[[#This Row],[Total Shipped]]:Table1[[#This Row],[Total Sales]],Table1[[#This Row],[Total Shipped]]:Table1[[#This Row],[Total Sales]],"&lt;&gt;#N/A")</f>
        <v>2.7</v>
      </c>
      <c r="P228">
        <f>_xlfn.MAXIFS(Table1[[#This Row],[VGChartz Score]:[User Score]],Table1[[#This Row],[VGChartz Score]:[User Score]],"&lt;&gt;#N/A")</f>
        <v>8</v>
      </c>
    </row>
    <row r="229" spans="1:16" hidden="1" x14ac:dyDescent="0.2">
      <c r="A229">
        <f t="shared" si="4"/>
        <v>228</v>
      </c>
      <c r="B229">
        <v>28</v>
      </c>
      <c r="C229" t="s">
        <v>138</v>
      </c>
      <c r="D229" t="s">
        <v>1160</v>
      </c>
      <c r="E229" t="s">
        <v>1102</v>
      </c>
      <c r="F229" t="s">
        <v>1</v>
      </c>
      <c r="G229" t="e">
        <v>#N/A</v>
      </c>
      <c r="H229">
        <v>7.8</v>
      </c>
      <c r="I229" t="e">
        <v>#N/A</v>
      </c>
      <c r="J229" s="2">
        <v>2.66</v>
      </c>
      <c r="K229" s="2" t="e">
        <v>#N/A</v>
      </c>
      <c r="L229" t="s">
        <v>1161</v>
      </c>
      <c r="M229" t="s">
        <v>429</v>
      </c>
      <c r="N229">
        <f>2000+RIGHT(Table1[[#This Row],[Release Date]],2)</f>
        <v>2014</v>
      </c>
      <c r="O229">
        <f>_xlfn.MAXIFS(Table1[[#This Row],[Total Shipped]]:Table1[[#This Row],[Total Sales]],Table1[[#This Row],[Total Shipped]]:Table1[[#This Row],[Total Sales]],"&lt;&gt;#N/A")</f>
        <v>2.66</v>
      </c>
      <c r="P229">
        <f>_xlfn.MAXIFS(Table1[[#This Row],[VGChartz Score]:[User Score]],Table1[[#This Row],[VGChartz Score]:[User Score]],"&lt;&gt;#N/A")</f>
        <v>7.8</v>
      </c>
    </row>
    <row r="230" spans="1:16" hidden="1" x14ac:dyDescent="0.2">
      <c r="A230">
        <f t="shared" si="4"/>
        <v>229</v>
      </c>
      <c r="B230">
        <v>29</v>
      </c>
      <c r="C230" t="s">
        <v>138</v>
      </c>
      <c r="D230" t="s">
        <v>1162</v>
      </c>
      <c r="E230" t="s">
        <v>1102</v>
      </c>
      <c r="F230" t="s">
        <v>69</v>
      </c>
      <c r="G230" t="e">
        <v>#N/A</v>
      </c>
      <c r="H230">
        <v>7.6</v>
      </c>
      <c r="I230" t="e">
        <v>#N/A</v>
      </c>
      <c r="J230" s="1">
        <v>2.6</v>
      </c>
      <c r="K230" s="1" t="e">
        <v>#N/A</v>
      </c>
      <c r="L230" t="s">
        <v>1163</v>
      </c>
      <c r="M230" t="s">
        <v>693</v>
      </c>
      <c r="N230">
        <f>2000+RIGHT(Table1[[#This Row],[Release Date]],2)</f>
        <v>2013</v>
      </c>
      <c r="O230">
        <f>_xlfn.MAXIFS(Table1[[#This Row],[Total Shipped]]:Table1[[#This Row],[Total Sales]],Table1[[#This Row],[Total Shipped]]:Table1[[#This Row],[Total Sales]],"&lt;&gt;#N/A")</f>
        <v>2.6</v>
      </c>
      <c r="P230">
        <f>_xlfn.MAXIFS(Table1[[#This Row],[VGChartz Score]:[User Score]],Table1[[#This Row],[VGChartz Score]:[User Score]],"&lt;&gt;#N/A")</f>
        <v>7.6</v>
      </c>
    </row>
    <row r="231" spans="1:16" hidden="1" x14ac:dyDescent="0.2">
      <c r="A231">
        <f t="shared" si="4"/>
        <v>230</v>
      </c>
      <c r="B231">
        <v>30</v>
      </c>
      <c r="C231" t="s">
        <v>138</v>
      </c>
      <c r="D231" t="s">
        <v>1164</v>
      </c>
      <c r="E231" t="s">
        <v>1102</v>
      </c>
      <c r="F231" t="s">
        <v>1</v>
      </c>
      <c r="G231">
        <v>6.8</v>
      </c>
      <c r="H231" t="e">
        <v>#N/A</v>
      </c>
      <c r="I231" t="e">
        <v>#N/A</v>
      </c>
      <c r="J231" s="2">
        <v>2.4900000000000002</v>
      </c>
      <c r="K231" s="2" t="e">
        <v>#N/A</v>
      </c>
      <c r="L231" t="s">
        <v>1165</v>
      </c>
      <c r="M231" t="s">
        <v>693</v>
      </c>
      <c r="N231">
        <f>2000+RIGHT(Table1[[#This Row],[Release Date]],2)</f>
        <v>2012</v>
      </c>
      <c r="O231">
        <f>_xlfn.MAXIFS(Table1[[#This Row],[Total Shipped]]:Table1[[#This Row],[Total Sales]],Table1[[#This Row],[Total Shipped]]:Table1[[#This Row],[Total Sales]],"&lt;&gt;#N/A")</f>
        <v>2.4900000000000002</v>
      </c>
      <c r="P231">
        <f>_xlfn.MAXIFS(Table1[[#This Row],[VGChartz Score]:[User Score]],Table1[[#This Row],[VGChartz Score]:[User Score]],"&lt;&gt;#N/A")</f>
        <v>6.8</v>
      </c>
    </row>
    <row r="232" spans="1:16" hidden="1" x14ac:dyDescent="0.2">
      <c r="A232">
        <f t="shared" si="4"/>
        <v>231</v>
      </c>
      <c r="B232">
        <v>31</v>
      </c>
      <c r="C232" t="s">
        <v>138</v>
      </c>
      <c r="D232" t="s">
        <v>1166</v>
      </c>
      <c r="E232" t="s">
        <v>1102</v>
      </c>
      <c r="F232" t="s">
        <v>1</v>
      </c>
      <c r="G232">
        <v>9.3000000000000007</v>
      </c>
      <c r="H232">
        <v>9</v>
      </c>
      <c r="I232" t="e">
        <v>#N/A</v>
      </c>
      <c r="J232" s="1">
        <v>2.37</v>
      </c>
      <c r="K232" s="1" t="e">
        <v>#N/A</v>
      </c>
      <c r="L232" t="s">
        <v>1167</v>
      </c>
      <c r="M232" t="s">
        <v>123</v>
      </c>
      <c r="N232">
        <f>2000+RIGHT(Table1[[#This Row],[Release Date]],2)</f>
        <v>2013</v>
      </c>
      <c r="O232">
        <f>_xlfn.MAXIFS(Table1[[#This Row],[Total Shipped]]:Table1[[#This Row],[Total Sales]],Table1[[#This Row],[Total Shipped]]:Table1[[#This Row],[Total Sales]],"&lt;&gt;#N/A")</f>
        <v>2.37</v>
      </c>
      <c r="P232">
        <f>_xlfn.MAXIFS(Table1[[#This Row],[VGChartz Score]:[User Score]],Table1[[#This Row],[VGChartz Score]:[User Score]],"&lt;&gt;#N/A")</f>
        <v>9.3000000000000007</v>
      </c>
    </row>
    <row r="233" spans="1:16" hidden="1" x14ac:dyDescent="0.2">
      <c r="A233">
        <f t="shared" si="4"/>
        <v>232</v>
      </c>
      <c r="B233">
        <v>32</v>
      </c>
      <c r="C233" t="s">
        <v>138</v>
      </c>
      <c r="D233" t="s">
        <v>1168</v>
      </c>
      <c r="E233" t="s">
        <v>1102</v>
      </c>
      <c r="F233" t="s">
        <v>1</v>
      </c>
      <c r="G233" t="e">
        <v>#N/A</v>
      </c>
      <c r="H233" t="e">
        <v>#N/A</v>
      </c>
      <c r="I233" t="e">
        <v>#N/A</v>
      </c>
      <c r="J233" s="2">
        <v>2.37</v>
      </c>
      <c r="K233" s="2" t="e">
        <v>#N/A</v>
      </c>
      <c r="L233" t="s">
        <v>292</v>
      </c>
      <c r="M233" t="s">
        <v>1169</v>
      </c>
      <c r="N233">
        <f>2000+RIGHT(Table1[[#This Row],[Release Date]],2)</f>
        <v>2018</v>
      </c>
      <c r="O233">
        <f>_xlfn.MAXIFS(Table1[[#This Row],[Total Shipped]]:Table1[[#This Row],[Total Sales]],Table1[[#This Row],[Total Shipped]]:Table1[[#This Row],[Total Sales]],"&lt;&gt;#N/A")</f>
        <v>2.37</v>
      </c>
      <c r="P233">
        <f>_xlfn.MAXIFS(Table1[[#This Row],[VGChartz Score]:[User Score]],Table1[[#This Row],[VGChartz Score]:[User Score]],"&lt;&gt;#N/A")</f>
        <v>0</v>
      </c>
    </row>
    <row r="234" spans="1:16" hidden="1" x14ac:dyDescent="0.2">
      <c r="A234">
        <f t="shared" si="4"/>
        <v>233</v>
      </c>
      <c r="B234">
        <v>33</v>
      </c>
      <c r="C234" t="s">
        <v>138</v>
      </c>
      <c r="D234" t="s">
        <v>1170</v>
      </c>
      <c r="E234" t="s">
        <v>1102</v>
      </c>
      <c r="F234" t="s">
        <v>1023</v>
      </c>
      <c r="G234" t="e">
        <v>#N/A</v>
      </c>
      <c r="H234" t="e">
        <v>#N/A</v>
      </c>
      <c r="I234" t="e">
        <v>#N/A</v>
      </c>
      <c r="J234" s="1">
        <v>2.21</v>
      </c>
      <c r="K234" s="1" t="e">
        <v>#N/A</v>
      </c>
      <c r="L234" t="s">
        <v>1171</v>
      </c>
      <c r="M234" t="s">
        <v>166</v>
      </c>
      <c r="N234">
        <f>2000+RIGHT(Table1[[#This Row],[Release Date]],2)</f>
        <v>2016</v>
      </c>
      <c r="O234">
        <f>_xlfn.MAXIFS(Table1[[#This Row],[Total Shipped]]:Table1[[#This Row],[Total Sales]],Table1[[#This Row],[Total Shipped]]:Table1[[#This Row],[Total Sales]],"&lt;&gt;#N/A")</f>
        <v>2.21</v>
      </c>
      <c r="P234">
        <f>_xlfn.MAXIFS(Table1[[#This Row],[VGChartz Score]:[User Score]],Table1[[#This Row],[VGChartz Score]:[User Score]],"&lt;&gt;#N/A")</f>
        <v>0</v>
      </c>
    </row>
    <row r="235" spans="1:16" hidden="1" x14ac:dyDescent="0.2">
      <c r="A235">
        <f t="shared" si="4"/>
        <v>234</v>
      </c>
      <c r="B235">
        <v>34</v>
      </c>
      <c r="C235" t="s">
        <v>138</v>
      </c>
      <c r="D235" t="s">
        <v>1172</v>
      </c>
      <c r="E235" t="s">
        <v>1102</v>
      </c>
      <c r="F235" t="s">
        <v>1</v>
      </c>
      <c r="G235">
        <v>6.8</v>
      </c>
      <c r="H235" t="e">
        <v>#N/A</v>
      </c>
      <c r="I235" t="e">
        <v>#N/A</v>
      </c>
      <c r="J235" s="2">
        <v>2.06</v>
      </c>
      <c r="K235" s="2" t="e">
        <v>#N/A</v>
      </c>
      <c r="L235" t="s">
        <v>1173</v>
      </c>
      <c r="M235" t="s">
        <v>1174</v>
      </c>
      <c r="N235">
        <f>2000+RIGHT(Table1[[#This Row],[Release Date]],2)</f>
        <v>2014</v>
      </c>
      <c r="O235">
        <f>_xlfn.MAXIFS(Table1[[#This Row],[Total Shipped]]:Table1[[#This Row],[Total Sales]],Table1[[#This Row],[Total Shipped]]:Table1[[#This Row],[Total Sales]],"&lt;&gt;#N/A")</f>
        <v>2.06</v>
      </c>
      <c r="P235">
        <f>_xlfn.MAXIFS(Table1[[#This Row],[VGChartz Score]:[User Score]],Table1[[#This Row],[VGChartz Score]:[User Score]],"&lt;&gt;#N/A")</f>
        <v>6.8</v>
      </c>
    </row>
    <row r="236" spans="1:16" hidden="1" x14ac:dyDescent="0.2">
      <c r="A236">
        <f t="shared" si="4"/>
        <v>235</v>
      </c>
      <c r="B236">
        <v>35</v>
      </c>
      <c r="C236" t="s">
        <v>138</v>
      </c>
      <c r="D236" t="s">
        <v>1175</v>
      </c>
      <c r="E236" t="s">
        <v>1102</v>
      </c>
      <c r="F236" t="s">
        <v>1</v>
      </c>
      <c r="G236" t="e">
        <v>#N/A</v>
      </c>
      <c r="H236">
        <v>6.2</v>
      </c>
      <c r="I236" t="e">
        <v>#N/A</v>
      </c>
      <c r="J236" s="1">
        <v>2.04</v>
      </c>
      <c r="K236" s="1" t="e">
        <v>#N/A</v>
      </c>
      <c r="L236" t="s">
        <v>1176</v>
      </c>
      <c r="M236" t="s">
        <v>693</v>
      </c>
      <c r="N236">
        <f>2000+RIGHT(Table1[[#This Row],[Release Date]],2)</f>
        <v>2013</v>
      </c>
      <c r="O236">
        <f>_xlfn.MAXIFS(Table1[[#This Row],[Total Shipped]]:Table1[[#This Row],[Total Sales]],Table1[[#This Row],[Total Shipped]]:Table1[[#This Row],[Total Sales]],"&lt;&gt;#N/A")</f>
        <v>2.04</v>
      </c>
      <c r="P236">
        <f>_xlfn.MAXIFS(Table1[[#This Row],[VGChartz Score]:[User Score]],Table1[[#This Row],[VGChartz Score]:[User Score]],"&lt;&gt;#N/A")</f>
        <v>6.2</v>
      </c>
    </row>
    <row r="237" spans="1:16" hidden="1" x14ac:dyDescent="0.2">
      <c r="A237">
        <f t="shared" si="4"/>
        <v>236</v>
      </c>
      <c r="B237">
        <v>36</v>
      </c>
      <c r="C237" t="s">
        <v>138</v>
      </c>
      <c r="D237" t="s">
        <v>1177</v>
      </c>
      <c r="E237" t="s">
        <v>1102</v>
      </c>
      <c r="F237" t="s">
        <v>254</v>
      </c>
      <c r="G237" t="e">
        <v>#N/A</v>
      </c>
      <c r="H237" t="e">
        <v>#N/A</v>
      </c>
      <c r="I237" t="e">
        <v>#N/A</v>
      </c>
      <c r="J237" s="2" t="e">
        <v>#N/A</v>
      </c>
      <c r="K237" s="2">
        <v>1.82</v>
      </c>
      <c r="L237" t="s">
        <v>1178</v>
      </c>
      <c r="M237" t="s">
        <v>693</v>
      </c>
      <c r="N237">
        <f>2000+RIGHT(Table1[[#This Row],[Release Date]],2)</f>
        <v>2017</v>
      </c>
      <c r="O237">
        <f>_xlfn.MAXIFS(Table1[[#This Row],[Total Shipped]]:Table1[[#This Row],[Total Sales]],Table1[[#This Row],[Total Shipped]]:Table1[[#This Row],[Total Sales]],"&lt;&gt;#N/A")</f>
        <v>1.82</v>
      </c>
      <c r="P237">
        <f>_xlfn.MAXIFS(Table1[[#This Row],[VGChartz Score]:[User Score]],Table1[[#This Row],[VGChartz Score]:[User Score]],"&lt;&gt;#N/A")</f>
        <v>0</v>
      </c>
    </row>
    <row r="238" spans="1:16" hidden="1" x14ac:dyDescent="0.2">
      <c r="A238">
        <f t="shared" si="4"/>
        <v>237</v>
      </c>
      <c r="B238">
        <v>37</v>
      </c>
      <c r="C238" t="s">
        <v>138</v>
      </c>
      <c r="D238" t="s">
        <v>1179</v>
      </c>
      <c r="E238" t="s">
        <v>1102</v>
      </c>
      <c r="F238" t="s">
        <v>69</v>
      </c>
      <c r="G238" t="e">
        <v>#N/A</v>
      </c>
      <c r="H238" t="e">
        <v>#N/A</v>
      </c>
      <c r="I238" t="e">
        <v>#N/A</v>
      </c>
      <c r="J238" s="1">
        <v>1.8</v>
      </c>
      <c r="K238" s="1" t="e">
        <v>#N/A</v>
      </c>
      <c r="L238" t="s">
        <v>1180</v>
      </c>
      <c r="M238" t="s">
        <v>693</v>
      </c>
      <c r="N238">
        <f>2000+RIGHT(Table1[[#This Row],[Release Date]],2)</f>
        <v>2017</v>
      </c>
      <c r="O238">
        <f>_xlfn.MAXIFS(Table1[[#This Row],[Total Shipped]]:Table1[[#This Row],[Total Sales]],Table1[[#This Row],[Total Shipped]]:Table1[[#This Row],[Total Sales]],"&lt;&gt;#N/A")</f>
        <v>1.8</v>
      </c>
      <c r="P238">
        <f>_xlfn.MAXIFS(Table1[[#This Row],[VGChartz Score]:[User Score]],Table1[[#This Row],[VGChartz Score]:[User Score]],"&lt;&gt;#N/A")</f>
        <v>0</v>
      </c>
    </row>
    <row r="239" spans="1:16" hidden="1" x14ac:dyDescent="0.2">
      <c r="A239">
        <f t="shared" si="4"/>
        <v>238</v>
      </c>
      <c r="B239">
        <v>38</v>
      </c>
      <c r="C239" t="s">
        <v>138</v>
      </c>
      <c r="D239" t="s">
        <v>1181</v>
      </c>
      <c r="E239" t="s">
        <v>1102</v>
      </c>
      <c r="F239" t="s">
        <v>1</v>
      </c>
      <c r="G239" t="e">
        <v>#N/A</v>
      </c>
      <c r="H239" t="e">
        <v>#N/A</v>
      </c>
      <c r="I239" t="e">
        <v>#N/A</v>
      </c>
      <c r="J239" s="2" t="e">
        <v>#N/A</v>
      </c>
      <c r="K239" s="2">
        <v>1.69</v>
      </c>
      <c r="L239" t="s">
        <v>1182</v>
      </c>
      <c r="M239" t="s">
        <v>634</v>
      </c>
      <c r="N239">
        <f>2000+RIGHT(Table1[[#This Row],[Release Date]],2)</f>
        <v>2013</v>
      </c>
      <c r="O239">
        <f>_xlfn.MAXIFS(Table1[[#This Row],[Total Shipped]]:Table1[[#This Row],[Total Sales]],Table1[[#This Row],[Total Shipped]]:Table1[[#This Row],[Total Sales]],"&lt;&gt;#N/A")</f>
        <v>1.69</v>
      </c>
      <c r="P239">
        <f>_xlfn.MAXIFS(Table1[[#This Row],[VGChartz Score]:[User Score]],Table1[[#This Row],[VGChartz Score]:[User Score]],"&lt;&gt;#N/A")</f>
        <v>0</v>
      </c>
    </row>
    <row r="240" spans="1:16" hidden="1" x14ac:dyDescent="0.2">
      <c r="A240">
        <f t="shared" si="4"/>
        <v>239</v>
      </c>
      <c r="B240">
        <v>39</v>
      </c>
      <c r="C240" t="s">
        <v>138</v>
      </c>
      <c r="D240" t="s">
        <v>1183</v>
      </c>
      <c r="E240" t="s">
        <v>1102</v>
      </c>
      <c r="F240" t="s">
        <v>1</v>
      </c>
      <c r="G240" t="e">
        <v>#N/A</v>
      </c>
      <c r="H240">
        <v>7.7</v>
      </c>
      <c r="I240" t="e">
        <v>#N/A</v>
      </c>
      <c r="J240" s="1">
        <v>1.67</v>
      </c>
      <c r="K240" s="1" t="e">
        <v>#N/A</v>
      </c>
      <c r="L240" t="s">
        <v>1184</v>
      </c>
      <c r="M240" t="s">
        <v>1108</v>
      </c>
      <c r="N240">
        <f>2000+RIGHT(Table1[[#This Row],[Release Date]],2)</f>
        <v>2015</v>
      </c>
      <c r="O240">
        <f>_xlfn.MAXIFS(Table1[[#This Row],[Total Shipped]]:Table1[[#This Row],[Total Sales]],Table1[[#This Row],[Total Shipped]]:Table1[[#This Row],[Total Sales]],"&lt;&gt;#N/A")</f>
        <v>1.67</v>
      </c>
      <c r="P240">
        <f>_xlfn.MAXIFS(Table1[[#This Row],[VGChartz Score]:[User Score]],Table1[[#This Row],[VGChartz Score]:[User Score]],"&lt;&gt;#N/A")</f>
        <v>7.7</v>
      </c>
    </row>
    <row r="241" spans="1:16" hidden="1" x14ac:dyDescent="0.2">
      <c r="A241">
        <f t="shared" si="4"/>
        <v>240</v>
      </c>
      <c r="B241">
        <v>40</v>
      </c>
      <c r="C241" t="s">
        <v>138</v>
      </c>
      <c r="D241" t="s">
        <v>1185</v>
      </c>
      <c r="E241" t="s">
        <v>1102</v>
      </c>
      <c r="F241" t="s">
        <v>1</v>
      </c>
      <c r="G241" t="e">
        <v>#N/A</v>
      </c>
      <c r="H241">
        <v>7.7</v>
      </c>
      <c r="I241" t="e">
        <v>#N/A</v>
      </c>
      <c r="J241" s="2">
        <v>1.64</v>
      </c>
      <c r="K241" s="2" t="e">
        <v>#N/A</v>
      </c>
      <c r="L241" t="s">
        <v>1186</v>
      </c>
      <c r="M241" t="s">
        <v>195</v>
      </c>
      <c r="N241">
        <f>2000+RIGHT(Table1[[#This Row],[Release Date]],2)</f>
        <v>2016</v>
      </c>
      <c r="O241">
        <f>_xlfn.MAXIFS(Table1[[#This Row],[Total Shipped]]:Table1[[#This Row],[Total Sales]],Table1[[#This Row],[Total Shipped]]:Table1[[#This Row],[Total Sales]],"&lt;&gt;#N/A")</f>
        <v>1.64</v>
      </c>
      <c r="P241">
        <f>_xlfn.MAXIFS(Table1[[#This Row],[VGChartz Score]:[User Score]],Table1[[#This Row],[VGChartz Score]:[User Score]],"&lt;&gt;#N/A")</f>
        <v>7.7</v>
      </c>
    </row>
    <row r="242" spans="1:16" hidden="1" x14ac:dyDescent="0.2">
      <c r="A242">
        <f t="shared" si="4"/>
        <v>241</v>
      </c>
      <c r="B242">
        <v>41</v>
      </c>
      <c r="C242" t="s">
        <v>138</v>
      </c>
      <c r="D242" t="s">
        <v>1187</v>
      </c>
      <c r="E242" t="s">
        <v>1102</v>
      </c>
      <c r="F242" t="s">
        <v>1</v>
      </c>
      <c r="G242" t="e">
        <v>#N/A</v>
      </c>
      <c r="H242" t="e">
        <v>#N/A</v>
      </c>
      <c r="I242" t="e">
        <v>#N/A</v>
      </c>
      <c r="J242" s="1">
        <v>1.6</v>
      </c>
      <c r="K242" s="1" t="e">
        <v>#N/A</v>
      </c>
      <c r="L242" t="s">
        <v>451</v>
      </c>
      <c r="M242" t="s">
        <v>429</v>
      </c>
      <c r="N242">
        <f>2000+RIGHT(Table1[[#This Row],[Release Date]],2)</f>
        <v>2016</v>
      </c>
      <c r="O242">
        <f>_xlfn.MAXIFS(Table1[[#This Row],[Total Shipped]]:Table1[[#This Row],[Total Sales]],Table1[[#This Row],[Total Shipped]]:Table1[[#This Row],[Total Sales]],"&lt;&gt;#N/A")</f>
        <v>1.6</v>
      </c>
      <c r="P242">
        <f>_xlfn.MAXIFS(Table1[[#This Row],[VGChartz Score]:[User Score]],Table1[[#This Row],[VGChartz Score]:[User Score]],"&lt;&gt;#N/A")</f>
        <v>0</v>
      </c>
    </row>
    <row r="243" spans="1:16" hidden="1" x14ac:dyDescent="0.2">
      <c r="A243">
        <f t="shared" si="4"/>
        <v>242</v>
      </c>
      <c r="B243">
        <v>42</v>
      </c>
      <c r="C243" t="s">
        <v>138</v>
      </c>
      <c r="D243" t="s">
        <v>1188</v>
      </c>
      <c r="E243" t="s">
        <v>1102</v>
      </c>
      <c r="F243" t="s">
        <v>1</v>
      </c>
      <c r="G243">
        <v>6.5</v>
      </c>
      <c r="H243">
        <v>6.6</v>
      </c>
      <c r="I243" t="e">
        <v>#N/A</v>
      </c>
      <c r="J243" s="2">
        <v>1.58</v>
      </c>
      <c r="K243" s="2" t="e">
        <v>#N/A</v>
      </c>
      <c r="L243" t="s">
        <v>1189</v>
      </c>
      <c r="M243" t="s">
        <v>1190</v>
      </c>
      <c r="N243">
        <f>2000+RIGHT(Table1[[#This Row],[Release Date]],2)</f>
        <v>2012</v>
      </c>
      <c r="O243">
        <f>_xlfn.MAXIFS(Table1[[#This Row],[Total Shipped]]:Table1[[#This Row],[Total Sales]],Table1[[#This Row],[Total Shipped]]:Table1[[#This Row],[Total Sales]],"&lt;&gt;#N/A")</f>
        <v>1.58</v>
      </c>
      <c r="P243">
        <f>_xlfn.MAXIFS(Table1[[#This Row],[VGChartz Score]:[User Score]],Table1[[#This Row],[VGChartz Score]:[User Score]],"&lt;&gt;#N/A")</f>
        <v>6.6</v>
      </c>
    </row>
    <row r="244" spans="1:16" hidden="1" x14ac:dyDescent="0.2">
      <c r="A244">
        <f t="shared" si="4"/>
        <v>243</v>
      </c>
      <c r="B244">
        <v>43</v>
      </c>
      <c r="C244" t="s">
        <v>138</v>
      </c>
      <c r="D244" t="s">
        <v>1191</v>
      </c>
      <c r="E244" t="s">
        <v>1102</v>
      </c>
      <c r="F244" t="s">
        <v>1192</v>
      </c>
      <c r="G244" t="e">
        <v>#N/A</v>
      </c>
      <c r="H244" t="e">
        <v>#N/A</v>
      </c>
      <c r="I244" t="e">
        <v>#N/A</v>
      </c>
      <c r="J244" s="1">
        <v>1.5</v>
      </c>
      <c r="K244" s="1" t="e">
        <v>#N/A</v>
      </c>
      <c r="L244" t="s">
        <v>1193</v>
      </c>
      <c r="M244" t="s">
        <v>693</v>
      </c>
      <c r="N244">
        <f>2000+RIGHT(Table1[[#This Row],[Release Date]],2)</f>
        <v>2013</v>
      </c>
      <c r="O244">
        <f>_xlfn.MAXIFS(Table1[[#This Row],[Total Shipped]]:Table1[[#This Row],[Total Sales]],Table1[[#This Row],[Total Shipped]]:Table1[[#This Row],[Total Sales]],"&lt;&gt;#N/A")</f>
        <v>1.5</v>
      </c>
      <c r="P244">
        <f>_xlfn.MAXIFS(Table1[[#This Row],[VGChartz Score]:[User Score]],Table1[[#This Row],[VGChartz Score]:[User Score]],"&lt;&gt;#N/A")</f>
        <v>0</v>
      </c>
    </row>
    <row r="245" spans="1:16" hidden="1" x14ac:dyDescent="0.2">
      <c r="A245">
        <f t="shared" si="4"/>
        <v>244</v>
      </c>
      <c r="B245">
        <v>44</v>
      </c>
      <c r="C245" t="s">
        <v>138</v>
      </c>
      <c r="D245" t="s">
        <v>1194</v>
      </c>
      <c r="E245" t="s">
        <v>1102</v>
      </c>
      <c r="F245" t="s">
        <v>1</v>
      </c>
      <c r="G245" t="e">
        <v>#N/A</v>
      </c>
      <c r="H245">
        <v>7.8</v>
      </c>
      <c r="I245" t="e">
        <v>#N/A</v>
      </c>
      <c r="J245" s="2">
        <v>1.5</v>
      </c>
      <c r="K245" s="2" t="e">
        <v>#N/A</v>
      </c>
      <c r="L245" t="s">
        <v>1195</v>
      </c>
      <c r="M245" t="s">
        <v>1196</v>
      </c>
      <c r="N245">
        <f>2000+RIGHT(Table1[[#This Row],[Release Date]],2)</f>
        <v>2015</v>
      </c>
      <c r="O245">
        <f>_xlfn.MAXIFS(Table1[[#This Row],[Total Shipped]]:Table1[[#This Row],[Total Sales]],Table1[[#This Row],[Total Shipped]]:Table1[[#This Row],[Total Sales]],"&lt;&gt;#N/A")</f>
        <v>1.5</v>
      </c>
      <c r="P245">
        <f>_xlfn.MAXIFS(Table1[[#This Row],[VGChartz Score]:[User Score]],Table1[[#This Row],[VGChartz Score]:[User Score]],"&lt;&gt;#N/A")</f>
        <v>7.8</v>
      </c>
    </row>
    <row r="246" spans="1:16" hidden="1" x14ac:dyDescent="0.2">
      <c r="A246">
        <f t="shared" si="4"/>
        <v>245</v>
      </c>
      <c r="B246">
        <v>45</v>
      </c>
      <c r="C246" t="s">
        <v>138</v>
      </c>
      <c r="D246" t="s">
        <v>1197</v>
      </c>
      <c r="E246" t="s">
        <v>1102</v>
      </c>
      <c r="F246" t="s">
        <v>1</v>
      </c>
      <c r="G246">
        <v>8.5</v>
      </c>
      <c r="H246">
        <v>8.4</v>
      </c>
      <c r="I246" t="e">
        <v>#N/A</v>
      </c>
      <c r="J246" s="1">
        <v>1.48</v>
      </c>
      <c r="K246" s="1" t="e">
        <v>#N/A</v>
      </c>
      <c r="L246" t="s">
        <v>1198</v>
      </c>
      <c r="M246" t="s">
        <v>693</v>
      </c>
      <c r="N246">
        <f>2000+RIGHT(Table1[[#This Row],[Release Date]],2)</f>
        <v>2012</v>
      </c>
      <c r="O246">
        <f>_xlfn.MAXIFS(Table1[[#This Row],[Total Shipped]]:Table1[[#This Row],[Total Sales]],Table1[[#This Row],[Total Shipped]]:Table1[[#This Row],[Total Sales]],"&lt;&gt;#N/A")</f>
        <v>1.48</v>
      </c>
      <c r="P246">
        <f>_xlfn.MAXIFS(Table1[[#This Row],[VGChartz Score]:[User Score]],Table1[[#This Row],[VGChartz Score]:[User Score]],"&lt;&gt;#N/A")</f>
        <v>8.5</v>
      </c>
    </row>
    <row r="247" spans="1:16" hidden="1" x14ac:dyDescent="0.2">
      <c r="A247">
        <f t="shared" si="4"/>
        <v>246</v>
      </c>
      <c r="B247">
        <v>46</v>
      </c>
      <c r="C247" t="s">
        <v>138</v>
      </c>
      <c r="D247" t="s">
        <v>1199</v>
      </c>
      <c r="E247" t="s">
        <v>1102</v>
      </c>
      <c r="F247" t="s">
        <v>1</v>
      </c>
      <c r="G247" t="e">
        <v>#N/A</v>
      </c>
      <c r="H247" t="e">
        <v>#N/A</v>
      </c>
      <c r="I247" t="e">
        <v>#N/A</v>
      </c>
      <c r="J247" s="2">
        <v>1.44</v>
      </c>
      <c r="K247" s="2" t="e">
        <v>#N/A</v>
      </c>
      <c r="L247" t="s">
        <v>1200</v>
      </c>
      <c r="M247" t="s">
        <v>1201</v>
      </c>
      <c r="N247">
        <f>2000+RIGHT(Table1[[#This Row],[Release Date]],2)</f>
        <v>2012</v>
      </c>
      <c r="O247">
        <f>_xlfn.MAXIFS(Table1[[#This Row],[Total Shipped]]:Table1[[#This Row],[Total Sales]],Table1[[#This Row],[Total Shipped]]:Table1[[#This Row],[Total Sales]],"&lt;&gt;#N/A")</f>
        <v>1.44</v>
      </c>
      <c r="P247">
        <f>_xlfn.MAXIFS(Table1[[#This Row],[VGChartz Score]:[User Score]],Table1[[#This Row],[VGChartz Score]:[User Score]],"&lt;&gt;#N/A")</f>
        <v>0</v>
      </c>
    </row>
    <row r="248" spans="1:16" hidden="1" x14ac:dyDescent="0.2">
      <c r="A248">
        <f t="shared" si="4"/>
        <v>247</v>
      </c>
      <c r="B248">
        <v>47</v>
      </c>
      <c r="C248" t="s">
        <v>138</v>
      </c>
      <c r="D248" t="s">
        <v>1202</v>
      </c>
      <c r="E248" t="s">
        <v>1102</v>
      </c>
      <c r="F248" t="s">
        <v>1</v>
      </c>
      <c r="G248" t="e">
        <v>#N/A</v>
      </c>
      <c r="H248">
        <v>6.5</v>
      </c>
      <c r="I248" t="e">
        <v>#N/A</v>
      </c>
      <c r="J248" s="1">
        <v>1.41</v>
      </c>
      <c r="K248" s="1" t="e">
        <v>#N/A</v>
      </c>
      <c r="L248" t="s">
        <v>1203</v>
      </c>
      <c r="M248" t="s">
        <v>1201</v>
      </c>
      <c r="N248">
        <f>2000+RIGHT(Table1[[#This Row],[Release Date]],2)</f>
        <v>2016</v>
      </c>
      <c r="O248">
        <f>_xlfn.MAXIFS(Table1[[#This Row],[Total Shipped]]:Table1[[#This Row],[Total Sales]],Table1[[#This Row],[Total Shipped]]:Table1[[#This Row],[Total Sales]],"&lt;&gt;#N/A")</f>
        <v>1.41</v>
      </c>
      <c r="P248">
        <f>_xlfn.MAXIFS(Table1[[#This Row],[VGChartz Score]:[User Score]],Table1[[#This Row],[VGChartz Score]:[User Score]],"&lt;&gt;#N/A")</f>
        <v>6.5</v>
      </c>
    </row>
    <row r="249" spans="1:16" hidden="1" x14ac:dyDescent="0.2">
      <c r="A249">
        <f t="shared" si="4"/>
        <v>248</v>
      </c>
      <c r="B249">
        <v>48</v>
      </c>
      <c r="C249" t="s">
        <v>138</v>
      </c>
      <c r="D249" t="s">
        <v>1204</v>
      </c>
      <c r="E249" t="s">
        <v>1102</v>
      </c>
      <c r="F249" t="s">
        <v>1</v>
      </c>
      <c r="G249">
        <v>5.6</v>
      </c>
      <c r="H249">
        <v>5.3</v>
      </c>
      <c r="I249" t="e">
        <v>#N/A</v>
      </c>
      <c r="J249" s="2">
        <v>1.4</v>
      </c>
      <c r="K249" s="2" t="e">
        <v>#N/A</v>
      </c>
      <c r="L249" t="s">
        <v>1205</v>
      </c>
      <c r="M249" t="e">
        <v>#N/A</v>
      </c>
      <c r="N249">
        <f>2000+RIGHT(Table1[[#This Row],[Release Date]],2)</f>
        <v>2011</v>
      </c>
      <c r="O249">
        <f>_xlfn.MAXIFS(Table1[[#This Row],[Total Shipped]]:Table1[[#This Row],[Total Sales]],Table1[[#This Row],[Total Shipped]]:Table1[[#This Row],[Total Sales]],"&lt;&gt;#N/A")</f>
        <v>1.4</v>
      </c>
      <c r="P249">
        <f>_xlfn.MAXIFS(Table1[[#This Row],[VGChartz Score]:[User Score]],Table1[[#This Row],[VGChartz Score]:[User Score]],"&lt;&gt;#N/A")</f>
        <v>5.6</v>
      </c>
    </row>
    <row r="250" spans="1:16" hidden="1" x14ac:dyDescent="0.2">
      <c r="A250">
        <f t="shared" si="4"/>
        <v>249</v>
      </c>
      <c r="B250">
        <v>49</v>
      </c>
      <c r="C250" t="s">
        <v>138</v>
      </c>
      <c r="D250" t="s">
        <v>1206</v>
      </c>
      <c r="E250" t="s">
        <v>1102</v>
      </c>
      <c r="F250" t="s">
        <v>1</v>
      </c>
      <c r="G250" t="e">
        <v>#N/A</v>
      </c>
      <c r="H250">
        <v>5.9</v>
      </c>
      <c r="I250" t="e">
        <v>#N/A</v>
      </c>
      <c r="J250" s="1">
        <v>1.39</v>
      </c>
      <c r="K250" s="1" t="e">
        <v>#N/A</v>
      </c>
      <c r="L250" t="s">
        <v>1127</v>
      </c>
      <c r="M250" t="s">
        <v>693</v>
      </c>
      <c r="N250">
        <f>2000+RIGHT(Table1[[#This Row],[Release Date]],2)</f>
        <v>2013</v>
      </c>
      <c r="O250">
        <f>_xlfn.MAXIFS(Table1[[#This Row],[Total Shipped]]:Table1[[#This Row],[Total Sales]],Table1[[#This Row],[Total Shipped]]:Table1[[#This Row],[Total Sales]],"&lt;&gt;#N/A")</f>
        <v>1.39</v>
      </c>
      <c r="P250">
        <f>_xlfn.MAXIFS(Table1[[#This Row],[VGChartz Score]:[User Score]],Table1[[#This Row],[VGChartz Score]:[User Score]],"&lt;&gt;#N/A")</f>
        <v>5.9</v>
      </c>
    </row>
    <row r="251" spans="1:16" hidden="1" x14ac:dyDescent="0.2">
      <c r="A251">
        <f t="shared" si="4"/>
        <v>250</v>
      </c>
      <c r="B251">
        <v>50</v>
      </c>
      <c r="C251" t="s">
        <v>138</v>
      </c>
      <c r="D251" t="s">
        <v>1207</v>
      </c>
      <c r="E251" t="s">
        <v>1102</v>
      </c>
      <c r="F251" t="s">
        <v>1</v>
      </c>
      <c r="G251">
        <v>9.1999999999999993</v>
      </c>
      <c r="H251">
        <v>8</v>
      </c>
      <c r="I251" t="e">
        <v>#N/A</v>
      </c>
      <c r="J251" s="2">
        <v>1.37</v>
      </c>
      <c r="K251" s="2" t="e">
        <v>#N/A</v>
      </c>
      <c r="L251" t="s">
        <v>1208</v>
      </c>
      <c r="M251" t="s">
        <v>693</v>
      </c>
      <c r="N251">
        <f>2000+RIGHT(Table1[[#This Row],[Release Date]],2)</f>
        <v>2012</v>
      </c>
      <c r="O251">
        <f>_xlfn.MAXIFS(Table1[[#This Row],[Total Shipped]]:Table1[[#This Row],[Total Sales]],Table1[[#This Row],[Total Shipped]]:Table1[[#This Row],[Total Sales]],"&lt;&gt;#N/A")</f>
        <v>1.37</v>
      </c>
      <c r="P251">
        <f>_xlfn.MAXIFS(Table1[[#This Row],[VGChartz Score]:[User Score]],Table1[[#This Row],[VGChartz Score]:[User Score]],"&lt;&gt;#N/A")</f>
        <v>9.1999999999999993</v>
      </c>
    </row>
    <row r="252" spans="1:16" hidden="1" x14ac:dyDescent="0.2">
      <c r="A252">
        <f t="shared" si="4"/>
        <v>251</v>
      </c>
      <c r="B252">
        <v>51</v>
      </c>
      <c r="C252" t="s">
        <v>138</v>
      </c>
      <c r="D252" t="s">
        <v>1209</v>
      </c>
      <c r="E252" t="s">
        <v>1102</v>
      </c>
      <c r="F252" t="s">
        <v>1</v>
      </c>
      <c r="G252" t="e">
        <v>#N/A</v>
      </c>
      <c r="H252">
        <v>7.4</v>
      </c>
      <c r="I252" t="e">
        <v>#N/A</v>
      </c>
      <c r="J252" s="1">
        <v>1.36</v>
      </c>
      <c r="K252" s="1" t="e">
        <v>#N/A</v>
      </c>
      <c r="L252" t="s">
        <v>449</v>
      </c>
      <c r="M252" t="s">
        <v>353</v>
      </c>
      <c r="N252">
        <f>2000+RIGHT(Table1[[#This Row],[Release Date]],2)</f>
        <v>2015</v>
      </c>
      <c r="O252">
        <f>_xlfn.MAXIFS(Table1[[#This Row],[Total Shipped]]:Table1[[#This Row],[Total Sales]],Table1[[#This Row],[Total Shipped]]:Table1[[#This Row],[Total Sales]],"&lt;&gt;#N/A")</f>
        <v>1.36</v>
      </c>
      <c r="P252">
        <f>_xlfn.MAXIFS(Table1[[#This Row],[VGChartz Score]:[User Score]],Table1[[#This Row],[VGChartz Score]:[User Score]],"&lt;&gt;#N/A")</f>
        <v>7.4</v>
      </c>
    </row>
    <row r="253" spans="1:16" hidden="1" x14ac:dyDescent="0.2">
      <c r="A253">
        <f t="shared" si="4"/>
        <v>252</v>
      </c>
      <c r="B253">
        <v>52</v>
      </c>
      <c r="C253" t="s">
        <v>138</v>
      </c>
      <c r="D253" t="s">
        <v>1210</v>
      </c>
      <c r="E253" t="s">
        <v>1102</v>
      </c>
      <c r="F253" t="s">
        <v>254</v>
      </c>
      <c r="G253">
        <v>8.3000000000000007</v>
      </c>
      <c r="H253">
        <v>7.5</v>
      </c>
      <c r="I253" t="e">
        <v>#N/A</v>
      </c>
      <c r="J253" s="2">
        <v>1.3</v>
      </c>
      <c r="K253" s="2" t="e">
        <v>#N/A</v>
      </c>
      <c r="L253" t="s">
        <v>1211</v>
      </c>
      <c r="M253" t="s">
        <v>693</v>
      </c>
      <c r="N253">
        <f>2000+RIGHT(Table1[[#This Row],[Release Date]],2)</f>
        <v>2012</v>
      </c>
      <c r="O253">
        <f>_xlfn.MAXIFS(Table1[[#This Row],[Total Shipped]]:Table1[[#This Row],[Total Sales]],Table1[[#This Row],[Total Shipped]]:Table1[[#This Row],[Total Sales]],"&lt;&gt;#N/A")</f>
        <v>1.3</v>
      </c>
      <c r="P253">
        <f>_xlfn.MAXIFS(Table1[[#This Row],[VGChartz Score]:[User Score]],Table1[[#This Row],[VGChartz Score]:[User Score]],"&lt;&gt;#N/A")</f>
        <v>8.3000000000000007</v>
      </c>
    </row>
    <row r="254" spans="1:16" hidden="1" x14ac:dyDescent="0.2">
      <c r="A254">
        <f t="shared" si="4"/>
        <v>253</v>
      </c>
      <c r="B254">
        <v>53</v>
      </c>
      <c r="C254" t="s">
        <v>138</v>
      </c>
      <c r="D254" t="s">
        <v>1212</v>
      </c>
      <c r="E254" t="s">
        <v>1102</v>
      </c>
      <c r="F254" t="s">
        <v>69</v>
      </c>
      <c r="G254">
        <v>8.6999999999999993</v>
      </c>
      <c r="H254">
        <v>8.5</v>
      </c>
      <c r="I254" t="e">
        <v>#N/A</v>
      </c>
      <c r="J254" s="1">
        <v>1.3</v>
      </c>
      <c r="K254" s="1" t="e">
        <v>#N/A</v>
      </c>
      <c r="L254" t="s">
        <v>1131</v>
      </c>
      <c r="M254" t="e">
        <v>#N/A</v>
      </c>
      <c r="N254">
        <f>2000+RIGHT(Table1[[#This Row],[Release Date]],2)</f>
        <v>2011</v>
      </c>
      <c r="O254">
        <f>_xlfn.MAXIFS(Table1[[#This Row],[Total Shipped]]:Table1[[#This Row],[Total Sales]],Table1[[#This Row],[Total Shipped]]:Table1[[#This Row],[Total Sales]],"&lt;&gt;#N/A")</f>
        <v>1.3</v>
      </c>
      <c r="P254">
        <f>_xlfn.MAXIFS(Table1[[#This Row],[VGChartz Score]:[User Score]],Table1[[#This Row],[VGChartz Score]:[User Score]],"&lt;&gt;#N/A")</f>
        <v>8.6999999999999993</v>
      </c>
    </row>
    <row r="255" spans="1:16" hidden="1" x14ac:dyDescent="0.2">
      <c r="A255">
        <f t="shared" si="4"/>
        <v>254</v>
      </c>
      <c r="B255">
        <v>54</v>
      </c>
      <c r="C255" t="s">
        <v>138</v>
      </c>
      <c r="D255" t="s">
        <v>177</v>
      </c>
      <c r="E255" t="s">
        <v>1102</v>
      </c>
      <c r="F255" t="s">
        <v>1</v>
      </c>
      <c r="G255" t="e">
        <v>#N/A</v>
      </c>
      <c r="H255">
        <v>6.6</v>
      </c>
      <c r="I255" t="e">
        <v>#N/A</v>
      </c>
      <c r="J255" s="2">
        <v>1.22</v>
      </c>
      <c r="K255" s="2" t="e">
        <v>#N/A</v>
      </c>
      <c r="L255" t="s">
        <v>1213</v>
      </c>
      <c r="M255" t="s">
        <v>142</v>
      </c>
      <c r="N255">
        <f>2000+RIGHT(Table1[[#This Row],[Release Date]],2)</f>
        <v>2017</v>
      </c>
      <c r="O255">
        <f>_xlfn.MAXIFS(Table1[[#This Row],[Total Shipped]]:Table1[[#This Row],[Total Sales]],Table1[[#This Row],[Total Shipped]]:Table1[[#This Row],[Total Sales]],"&lt;&gt;#N/A")</f>
        <v>1.22</v>
      </c>
      <c r="P255">
        <f>_xlfn.MAXIFS(Table1[[#This Row],[VGChartz Score]:[User Score]],Table1[[#This Row],[VGChartz Score]:[User Score]],"&lt;&gt;#N/A")</f>
        <v>6.6</v>
      </c>
    </row>
    <row r="256" spans="1:16" hidden="1" x14ac:dyDescent="0.2">
      <c r="A256">
        <f t="shared" si="4"/>
        <v>255</v>
      </c>
      <c r="B256">
        <v>55</v>
      </c>
      <c r="C256" t="s">
        <v>138</v>
      </c>
      <c r="D256" t="s">
        <v>1214</v>
      </c>
      <c r="E256" t="s">
        <v>1102</v>
      </c>
      <c r="F256" t="s">
        <v>240</v>
      </c>
      <c r="G256">
        <v>7</v>
      </c>
      <c r="H256">
        <v>6.5</v>
      </c>
      <c r="I256" t="e">
        <v>#N/A</v>
      </c>
      <c r="J256" s="1" t="e">
        <v>#N/A</v>
      </c>
      <c r="K256" s="1">
        <v>1.19</v>
      </c>
      <c r="L256" t="s">
        <v>1215</v>
      </c>
      <c r="M256" t="e">
        <v>#N/A</v>
      </c>
      <c r="N256">
        <f>2000+RIGHT(Table1[[#This Row],[Release Date]],2)</f>
        <v>2012</v>
      </c>
      <c r="O256">
        <f>_xlfn.MAXIFS(Table1[[#This Row],[Total Shipped]]:Table1[[#This Row],[Total Sales]],Table1[[#This Row],[Total Shipped]]:Table1[[#This Row],[Total Sales]],"&lt;&gt;#N/A")</f>
        <v>1.19</v>
      </c>
      <c r="P256">
        <f>_xlfn.MAXIFS(Table1[[#This Row],[VGChartz Score]:[User Score]],Table1[[#This Row],[VGChartz Score]:[User Score]],"&lt;&gt;#N/A")</f>
        <v>7</v>
      </c>
    </row>
    <row r="257" spans="1:16" hidden="1" x14ac:dyDescent="0.2">
      <c r="A257">
        <f t="shared" si="4"/>
        <v>256</v>
      </c>
      <c r="B257">
        <v>56</v>
      </c>
      <c r="C257" t="s">
        <v>138</v>
      </c>
      <c r="D257" t="s">
        <v>1216</v>
      </c>
      <c r="E257" t="s">
        <v>1102</v>
      </c>
      <c r="F257" t="s">
        <v>1</v>
      </c>
      <c r="G257" t="e">
        <v>#N/A</v>
      </c>
      <c r="H257">
        <v>8.8000000000000007</v>
      </c>
      <c r="I257" t="e">
        <v>#N/A</v>
      </c>
      <c r="J257" s="2" t="e">
        <v>#N/A</v>
      </c>
      <c r="K257" s="2">
        <v>1.1499999999999999</v>
      </c>
      <c r="L257" t="s">
        <v>1217</v>
      </c>
      <c r="M257" t="s">
        <v>1201</v>
      </c>
      <c r="N257">
        <f>2000+RIGHT(Table1[[#This Row],[Release Date]],2)</f>
        <v>2017</v>
      </c>
      <c r="O257">
        <f>_xlfn.MAXIFS(Table1[[#This Row],[Total Shipped]]:Table1[[#This Row],[Total Sales]],Table1[[#This Row],[Total Shipped]]:Table1[[#This Row],[Total Sales]],"&lt;&gt;#N/A")</f>
        <v>1.1499999999999999</v>
      </c>
      <c r="P257">
        <f>_xlfn.MAXIFS(Table1[[#This Row],[VGChartz Score]:[User Score]],Table1[[#This Row],[VGChartz Score]:[User Score]],"&lt;&gt;#N/A")</f>
        <v>8.8000000000000007</v>
      </c>
    </row>
    <row r="258" spans="1:16" hidden="1" x14ac:dyDescent="0.2">
      <c r="A258">
        <f t="shared" si="4"/>
        <v>257</v>
      </c>
      <c r="B258">
        <v>57</v>
      </c>
      <c r="C258" t="s">
        <v>138</v>
      </c>
      <c r="D258" t="s">
        <v>1218</v>
      </c>
      <c r="E258" t="s">
        <v>1102</v>
      </c>
      <c r="F258" t="s">
        <v>675</v>
      </c>
      <c r="G258" t="e">
        <v>#N/A</v>
      </c>
      <c r="H258">
        <v>6.7</v>
      </c>
      <c r="I258" t="e">
        <v>#N/A</v>
      </c>
      <c r="J258" s="1" t="e">
        <v>#N/A</v>
      </c>
      <c r="K258" s="1">
        <v>1.1399999999999999</v>
      </c>
      <c r="L258" t="s">
        <v>1131</v>
      </c>
      <c r="M258" t="e">
        <v>#N/A</v>
      </c>
      <c r="N258">
        <f>2000+RIGHT(Table1[[#This Row],[Release Date]],2)</f>
        <v>2011</v>
      </c>
      <c r="O258">
        <f>_xlfn.MAXIFS(Table1[[#This Row],[Total Shipped]]:Table1[[#This Row],[Total Sales]],Table1[[#This Row],[Total Shipped]]:Table1[[#This Row],[Total Sales]],"&lt;&gt;#N/A")</f>
        <v>1.1399999999999999</v>
      </c>
      <c r="P258">
        <f>_xlfn.MAXIFS(Table1[[#This Row],[VGChartz Score]:[User Score]],Table1[[#This Row],[VGChartz Score]:[User Score]],"&lt;&gt;#N/A")</f>
        <v>6.7</v>
      </c>
    </row>
    <row r="259" spans="1:16" hidden="1" x14ac:dyDescent="0.2">
      <c r="A259">
        <f t="shared" si="4"/>
        <v>258</v>
      </c>
      <c r="B259">
        <v>58</v>
      </c>
      <c r="C259" t="s">
        <v>138</v>
      </c>
      <c r="D259" t="s">
        <v>1219</v>
      </c>
      <c r="E259" t="s">
        <v>1102</v>
      </c>
      <c r="F259" t="s">
        <v>1</v>
      </c>
      <c r="G259" t="e">
        <v>#N/A</v>
      </c>
      <c r="H259">
        <v>6.9</v>
      </c>
      <c r="I259" t="e">
        <v>#N/A</v>
      </c>
      <c r="J259" s="2">
        <v>1.1100000000000001</v>
      </c>
      <c r="K259" s="2" t="e">
        <v>#N/A</v>
      </c>
      <c r="L259" t="s">
        <v>1220</v>
      </c>
      <c r="M259" t="s">
        <v>123</v>
      </c>
      <c r="N259">
        <f>2000+RIGHT(Table1[[#This Row],[Release Date]],2)</f>
        <v>2014</v>
      </c>
      <c r="O259">
        <f>_xlfn.MAXIFS(Table1[[#This Row],[Total Shipped]]:Table1[[#This Row],[Total Sales]],Table1[[#This Row],[Total Shipped]]:Table1[[#This Row],[Total Sales]],"&lt;&gt;#N/A")</f>
        <v>1.1100000000000001</v>
      </c>
      <c r="P259">
        <f>_xlfn.MAXIFS(Table1[[#This Row],[VGChartz Score]:[User Score]],Table1[[#This Row],[VGChartz Score]:[User Score]],"&lt;&gt;#N/A")</f>
        <v>6.9</v>
      </c>
    </row>
    <row r="260" spans="1:16" hidden="1" x14ac:dyDescent="0.2">
      <c r="A260">
        <f t="shared" si="4"/>
        <v>259</v>
      </c>
      <c r="B260">
        <v>59</v>
      </c>
      <c r="C260" t="s">
        <v>138</v>
      </c>
      <c r="D260" t="s">
        <v>1221</v>
      </c>
      <c r="E260" t="s">
        <v>1102</v>
      </c>
      <c r="F260" t="s">
        <v>1</v>
      </c>
      <c r="G260" t="e">
        <v>#N/A</v>
      </c>
      <c r="H260">
        <v>7.4</v>
      </c>
      <c r="I260" t="e">
        <v>#N/A</v>
      </c>
      <c r="J260" s="1">
        <v>1.08</v>
      </c>
      <c r="K260" s="1" t="e">
        <v>#N/A</v>
      </c>
      <c r="L260" t="s">
        <v>1222</v>
      </c>
      <c r="M260" t="s">
        <v>1201</v>
      </c>
      <c r="N260">
        <f>2000+RIGHT(Table1[[#This Row],[Release Date]],2)</f>
        <v>2016</v>
      </c>
      <c r="O260">
        <f>_xlfn.MAXIFS(Table1[[#This Row],[Total Shipped]]:Table1[[#This Row],[Total Sales]],Table1[[#This Row],[Total Shipped]]:Table1[[#This Row],[Total Sales]],"&lt;&gt;#N/A")</f>
        <v>1.08</v>
      </c>
      <c r="P260">
        <f>_xlfn.MAXIFS(Table1[[#This Row],[VGChartz Score]:[User Score]],Table1[[#This Row],[VGChartz Score]:[User Score]],"&lt;&gt;#N/A")</f>
        <v>7.4</v>
      </c>
    </row>
    <row r="261" spans="1:16" hidden="1" x14ac:dyDescent="0.2">
      <c r="A261">
        <f t="shared" si="4"/>
        <v>260</v>
      </c>
      <c r="B261">
        <v>60</v>
      </c>
      <c r="C261" t="s">
        <v>138</v>
      </c>
      <c r="D261" t="s">
        <v>1223</v>
      </c>
      <c r="E261" t="s">
        <v>1102</v>
      </c>
      <c r="F261" t="s">
        <v>1</v>
      </c>
      <c r="G261">
        <v>8</v>
      </c>
      <c r="H261">
        <v>8</v>
      </c>
      <c r="I261" t="e">
        <v>#N/A</v>
      </c>
      <c r="J261" s="2">
        <v>1.07</v>
      </c>
      <c r="K261" s="2" t="e">
        <v>#N/A</v>
      </c>
      <c r="L261" t="s">
        <v>1224</v>
      </c>
      <c r="M261" t="e">
        <v>#N/A</v>
      </c>
      <c r="N261">
        <f>2000+RIGHT(Table1[[#This Row],[Release Date]],2)</f>
        <v>2011</v>
      </c>
      <c r="O261">
        <f>_xlfn.MAXIFS(Table1[[#This Row],[Total Shipped]]:Table1[[#This Row],[Total Sales]],Table1[[#This Row],[Total Shipped]]:Table1[[#This Row],[Total Sales]],"&lt;&gt;#N/A")</f>
        <v>1.07</v>
      </c>
      <c r="P261">
        <f>_xlfn.MAXIFS(Table1[[#This Row],[VGChartz Score]:[User Score]],Table1[[#This Row],[VGChartz Score]:[User Score]],"&lt;&gt;#N/A")</f>
        <v>8</v>
      </c>
    </row>
    <row r="262" spans="1:16" hidden="1" x14ac:dyDescent="0.2">
      <c r="A262">
        <f t="shared" si="4"/>
        <v>261</v>
      </c>
      <c r="B262">
        <v>61</v>
      </c>
      <c r="C262" t="s">
        <v>138</v>
      </c>
      <c r="D262" t="s">
        <v>1225</v>
      </c>
      <c r="E262" t="s">
        <v>1102</v>
      </c>
      <c r="F262" t="s">
        <v>240</v>
      </c>
      <c r="G262" t="e">
        <v>#N/A</v>
      </c>
      <c r="H262">
        <v>6.3</v>
      </c>
      <c r="I262" t="e">
        <v>#N/A</v>
      </c>
      <c r="J262" s="1" t="e">
        <v>#N/A</v>
      </c>
      <c r="K262" s="1">
        <v>1.06</v>
      </c>
      <c r="L262" t="s">
        <v>1226</v>
      </c>
      <c r="M262" t="e">
        <v>#N/A</v>
      </c>
      <c r="N262">
        <f>2000+RIGHT(Table1[[#This Row],[Release Date]],2)</f>
        <v>2011</v>
      </c>
      <c r="O262">
        <f>_xlfn.MAXIFS(Table1[[#This Row],[Total Shipped]]:Table1[[#This Row],[Total Sales]],Table1[[#This Row],[Total Shipped]]:Table1[[#This Row],[Total Sales]],"&lt;&gt;#N/A")</f>
        <v>1.06</v>
      </c>
      <c r="P262">
        <f>_xlfn.MAXIFS(Table1[[#This Row],[VGChartz Score]:[User Score]],Table1[[#This Row],[VGChartz Score]:[User Score]],"&lt;&gt;#N/A")</f>
        <v>6.3</v>
      </c>
    </row>
    <row r="263" spans="1:16" hidden="1" x14ac:dyDescent="0.2">
      <c r="A263">
        <f t="shared" si="4"/>
        <v>262</v>
      </c>
      <c r="B263">
        <v>62</v>
      </c>
      <c r="C263" t="s">
        <v>138</v>
      </c>
      <c r="D263" t="s">
        <v>1227</v>
      </c>
      <c r="E263" t="s">
        <v>1102</v>
      </c>
      <c r="F263" t="s">
        <v>321</v>
      </c>
      <c r="G263" t="e">
        <v>#N/A</v>
      </c>
      <c r="H263" t="e">
        <v>#N/A</v>
      </c>
      <c r="I263" t="e">
        <v>#N/A</v>
      </c>
      <c r="J263" s="2" t="e">
        <v>#N/A</v>
      </c>
      <c r="K263" s="2">
        <v>1.05</v>
      </c>
      <c r="L263" t="s">
        <v>1228</v>
      </c>
      <c r="M263" t="s">
        <v>353</v>
      </c>
      <c r="N263">
        <f>2000+RIGHT(Table1[[#This Row],[Release Date]],2)</f>
        <v>2013</v>
      </c>
      <c r="O263">
        <f>_xlfn.MAXIFS(Table1[[#This Row],[Total Shipped]]:Table1[[#This Row],[Total Sales]],Table1[[#This Row],[Total Shipped]]:Table1[[#This Row],[Total Sales]],"&lt;&gt;#N/A")</f>
        <v>1.05</v>
      </c>
      <c r="P263">
        <f>_xlfn.MAXIFS(Table1[[#This Row],[VGChartz Score]:[User Score]],Table1[[#This Row],[VGChartz Score]:[User Score]],"&lt;&gt;#N/A")</f>
        <v>0</v>
      </c>
    </row>
    <row r="264" spans="1:16" hidden="1" x14ac:dyDescent="0.2">
      <c r="A264">
        <f t="shared" si="4"/>
        <v>263</v>
      </c>
      <c r="B264">
        <v>63</v>
      </c>
      <c r="C264" t="s">
        <v>138</v>
      </c>
      <c r="D264" t="s">
        <v>1229</v>
      </c>
      <c r="E264" t="s">
        <v>1102</v>
      </c>
      <c r="F264" t="s">
        <v>1</v>
      </c>
      <c r="G264" t="e">
        <v>#N/A</v>
      </c>
      <c r="H264">
        <v>8.8000000000000007</v>
      </c>
      <c r="I264" t="e">
        <v>#N/A</v>
      </c>
      <c r="J264" s="1">
        <v>1.03</v>
      </c>
      <c r="K264" s="1" t="e">
        <v>#N/A</v>
      </c>
      <c r="L264" t="s">
        <v>1230</v>
      </c>
      <c r="M264" t="s">
        <v>985</v>
      </c>
      <c r="N264">
        <f>2000+RIGHT(Table1[[#This Row],[Release Date]],2)</f>
        <v>2016</v>
      </c>
      <c r="O264">
        <f>_xlfn.MAXIFS(Table1[[#This Row],[Total Shipped]]:Table1[[#This Row],[Total Sales]],Table1[[#This Row],[Total Shipped]]:Table1[[#This Row],[Total Sales]],"&lt;&gt;#N/A")</f>
        <v>1.03</v>
      </c>
      <c r="P264">
        <f>_xlfn.MAXIFS(Table1[[#This Row],[VGChartz Score]:[User Score]],Table1[[#This Row],[VGChartz Score]:[User Score]],"&lt;&gt;#N/A")</f>
        <v>8.8000000000000007</v>
      </c>
    </row>
    <row r="265" spans="1:16" hidden="1" x14ac:dyDescent="0.2">
      <c r="A265">
        <f t="shared" si="4"/>
        <v>264</v>
      </c>
      <c r="B265">
        <v>64</v>
      </c>
      <c r="C265" t="s">
        <v>138</v>
      </c>
      <c r="D265" t="s">
        <v>1231</v>
      </c>
      <c r="E265" t="s">
        <v>1102</v>
      </c>
      <c r="F265" t="s">
        <v>1</v>
      </c>
      <c r="G265" t="e">
        <v>#N/A</v>
      </c>
      <c r="H265">
        <v>8.3000000000000007</v>
      </c>
      <c r="I265" t="e">
        <v>#N/A</v>
      </c>
      <c r="J265" s="2">
        <v>1</v>
      </c>
      <c r="K265" s="2" t="e">
        <v>#N/A</v>
      </c>
      <c r="L265" t="s">
        <v>1232</v>
      </c>
      <c r="M265" t="s">
        <v>252</v>
      </c>
      <c r="N265">
        <f>2000+RIGHT(Table1[[#This Row],[Release Date]],2)</f>
        <v>2017</v>
      </c>
      <c r="O265">
        <f>_xlfn.MAXIFS(Table1[[#This Row],[Total Shipped]]:Table1[[#This Row],[Total Sales]],Table1[[#This Row],[Total Shipped]]:Table1[[#This Row],[Total Sales]],"&lt;&gt;#N/A")</f>
        <v>1</v>
      </c>
      <c r="P265">
        <f>_xlfn.MAXIFS(Table1[[#This Row],[VGChartz Score]:[User Score]],Table1[[#This Row],[VGChartz Score]:[User Score]],"&lt;&gt;#N/A")</f>
        <v>8.3000000000000007</v>
      </c>
    </row>
    <row r="266" spans="1:16" hidden="1" x14ac:dyDescent="0.2">
      <c r="A266">
        <f t="shared" si="4"/>
        <v>265</v>
      </c>
      <c r="B266">
        <v>65</v>
      </c>
      <c r="C266" t="s">
        <v>138</v>
      </c>
      <c r="D266" t="s">
        <v>1233</v>
      </c>
      <c r="E266" t="s">
        <v>1102</v>
      </c>
      <c r="F266" t="s">
        <v>1234</v>
      </c>
      <c r="G266" t="e">
        <v>#N/A</v>
      </c>
      <c r="H266" t="e">
        <v>#N/A</v>
      </c>
      <c r="I266" t="e">
        <v>#N/A</v>
      </c>
      <c r="J266" s="1">
        <v>1</v>
      </c>
      <c r="K266" s="1" t="e">
        <v>#N/A</v>
      </c>
      <c r="L266" t="s">
        <v>1235</v>
      </c>
      <c r="M266" t="s">
        <v>1201</v>
      </c>
      <c r="N266">
        <f>2000+RIGHT(Table1[[#This Row],[Release Date]],2)</f>
        <v>2015</v>
      </c>
      <c r="O266">
        <f>_xlfn.MAXIFS(Table1[[#This Row],[Total Shipped]]:Table1[[#This Row],[Total Sales]],Table1[[#This Row],[Total Shipped]]:Table1[[#This Row],[Total Sales]],"&lt;&gt;#N/A")</f>
        <v>1</v>
      </c>
      <c r="P266">
        <f>_xlfn.MAXIFS(Table1[[#This Row],[VGChartz Score]:[User Score]],Table1[[#This Row],[VGChartz Score]:[User Score]],"&lt;&gt;#N/A")</f>
        <v>0</v>
      </c>
    </row>
    <row r="267" spans="1:16" hidden="1" x14ac:dyDescent="0.2">
      <c r="A267">
        <f t="shared" si="4"/>
        <v>266</v>
      </c>
      <c r="B267">
        <v>66</v>
      </c>
      <c r="C267" t="s">
        <v>138</v>
      </c>
      <c r="D267" t="s">
        <v>1236</v>
      </c>
      <c r="E267" t="s">
        <v>1102</v>
      </c>
      <c r="F267" t="s">
        <v>1</v>
      </c>
      <c r="G267">
        <v>6.1</v>
      </c>
      <c r="H267">
        <v>6.9</v>
      </c>
      <c r="I267" t="e">
        <v>#N/A</v>
      </c>
      <c r="J267" s="2" t="e">
        <v>#N/A</v>
      </c>
      <c r="K267" s="2">
        <v>0.96</v>
      </c>
      <c r="L267" t="s">
        <v>1131</v>
      </c>
      <c r="M267" t="e">
        <v>#N/A</v>
      </c>
      <c r="N267">
        <f>2000+RIGHT(Table1[[#This Row],[Release Date]],2)</f>
        <v>2011</v>
      </c>
      <c r="O267">
        <f>_xlfn.MAXIFS(Table1[[#This Row],[Total Shipped]]:Table1[[#This Row],[Total Sales]],Table1[[#This Row],[Total Shipped]]:Table1[[#This Row],[Total Sales]],"&lt;&gt;#N/A")</f>
        <v>0.96</v>
      </c>
      <c r="P267">
        <f>_xlfn.MAXIFS(Table1[[#This Row],[VGChartz Score]:[User Score]],Table1[[#This Row],[VGChartz Score]:[User Score]],"&lt;&gt;#N/A")</f>
        <v>6.9</v>
      </c>
    </row>
    <row r="268" spans="1:16" hidden="1" x14ac:dyDescent="0.2">
      <c r="A268">
        <f t="shared" si="4"/>
        <v>267</v>
      </c>
      <c r="B268">
        <v>67</v>
      </c>
      <c r="C268" t="s">
        <v>138</v>
      </c>
      <c r="D268" t="s">
        <v>1237</v>
      </c>
      <c r="E268" t="s">
        <v>1102</v>
      </c>
      <c r="F268" t="s">
        <v>837</v>
      </c>
      <c r="G268" t="e">
        <v>#N/A</v>
      </c>
      <c r="H268">
        <v>8.1999999999999993</v>
      </c>
      <c r="I268" t="e">
        <v>#N/A</v>
      </c>
      <c r="J268" s="1" t="e">
        <v>#N/A</v>
      </c>
      <c r="K268" s="1">
        <v>0.95</v>
      </c>
      <c r="L268" t="s">
        <v>1238</v>
      </c>
      <c r="M268" t="s">
        <v>1201</v>
      </c>
      <c r="N268">
        <f>2000+RIGHT(Table1[[#This Row],[Release Date]],2)</f>
        <v>2012</v>
      </c>
      <c r="O268">
        <f>_xlfn.MAXIFS(Table1[[#This Row],[Total Shipped]]:Table1[[#This Row],[Total Sales]],Table1[[#This Row],[Total Shipped]]:Table1[[#This Row],[Total Sales]],"&lt;&gt;#N/A")</f>
        <v>0.95</v>
      </c>
      <c r="P268">
        <f>_xlfn.MAXIFS(Table1[[#This Row],[VGChartz Score]:[User Score]],Table1[[#This Row],[VGChartz Score]:[User Score]],"&lt;&gt;#N/A")</f>
        <v>8.1999999999999993</v>
      </c>
    </row>
    <row r="269" spans="1:16" hidden="1" x14ac:dyDescent="0.2">
      <c r="A269">
        <f t="shared" si="4"/>
        <v>268</v>
      </c>
      <c r="B269">
        <v>68</v>
      </c>
      <c r="C269" t="s">
        <v>138</v>
      </c>
      <c r="D269" t="s">
        <v>1239</v>
      </c>
      <c r="E269" t="s">
        <v>1102</v>
      </c>
      <c r="F269" t="s">
        <v>254</v>
      </c>
      <c r="G269" t="e">
        <v>#N/A</v>
      </c>
      <c r="H269" t="e">
        <v>#N/A</v>
      </c>
      <c r="I269" t="e">
        <v>#N/A</v>
      </c>
      <c r="J269" s="2">
        <v>0.9</v>
      </c>
      <c r="K269" s="2" t="e">
        <v>#N/A</v>
      </c>
      <c r="L269" t="s">
        <v>1240</v>
      </c>
      <c r="M269" t="s">
        <v>1201</v>
      </c>
      <c r="N269">
        <f>2000+RIGHT(Table1[[#This Row],[Release Date]],2)</f>
        <v>2012</v>
      </c>
      <c r="O269">
        <f>_xlfn.MAXIFS(Table1[[#This Row],[Total Shipped]]:Table1[[#This Row],[Total Sales]],Table1[[#This Row],[Total Shipped]]:Table1[[#This Row],[Total Sales]],"&lt;&gt;#N/A")</f>
        <v>0.9</v>
      </c>
      <c r="P269">
        <f>_xlfn.MAXIFS(Table1[[#This Row],[VGChartz Score]:[User Score]],Table1[[#This Row],[VGChartz Score]:[User Score]],"&lt;&gt;#N/A")</f>
        <v>0</v>
      </c>
    </row>
    <row r="270" spans="1:16" hidden="1" x14ac:dyDescent="0.2">
      <c r="A270">
        <f t="shared" si="4"/>
        <v>269</v>
      </c>
      <c r="B270">
        <v>69</v>
      </c>
      <c r="C270" t="s">
        <v>138</v>
      </c>
      <c r="D270" t="s">
        <v>1241</v>
      </c>
      <c r="E270" t="s">
        <v>1102</v>
      </c>
      <c r="F270" t="s">
        <v>69</v>
      </c>
      <c r="G270">
        <v>9</v>
      </c>
      <c r="H270">
        <v>7.8</v>
      </c>
      <c r="I270" t="e">
        <v>#N/A</v>
      </c>
      <c r="J270" s="1" t="e">
        <v>#N/A</v>
      </c>
      <c r="K270" s="1">
        <v>0.89</v>
      </c>
      <c r="L270" t="s">
        <v>1242</v>
      </c>
      <c r="M270" t="e">
        <v>#N/A</v>
      </c>
      <c r="N270">
        <f>2000+RIGHT(Table1[[#This Row],[Release Date]],2)</f>
        <v>2012</v>
      </c>
      <c r="O270">
        <f>_xlfn.MAXIFS(Table1[[#This Row],[Total Shipped]]:Table1[[#This Row],[Total Sales]],Table1[[#This Row],[Total Shipped]]:Table1[[#This Row],[Total Sales]],"&lt;&gt;#N/A")</f>
        <v>0.89</v>
      </c>
      <c r="P270">
        <f>_xlfn.MAXIFS(Table1[[#This Row],[VGChartz Score]:[User Score]],Table1[[#This Row],[VGChartz Score]:[User Score]],"&lt;&gt;#N/A")</f>
        <v>9</v>
      </c>
    </row>
    <row r="271" spans="1:16" hidden="1" x14ac:dyDescent="0.2">
      <c r="A271">
        <f t="shared" si="4"/>
        <v>270</v>
      </c>
      <c r="B271">
        <v>70</v>
      </c>
      <c r="C271" t="s">
        <v>138</v>
      </c>
      <c r="D271" t="s">
        <v>1243</v>
      </c>
      <c r="E271" t="s">
        <v>1102</v>
      </c>
      <c r="F271" t="s">
        <v>1</v>
      </c>
      <c r="G271" t="e">
        <v>#N/A</v>
      </c>
      <c r="H271">
        <v>6.2</v>
      </c>
      <c r="I271" t="e">
        <v>#N/A</v>
      </c>
      <c r="J271" s="2" t="e">
        <v>#N/A</v>
      </c>
      <c r="K271" s="2">
        <v>0.87</v>
      </c>
      <c r="L271" t="s">
        <v>337</v>
      </c>
      <c r="M271" t="s">
        <v>3</v>
      </c>
      <c r="N271">
        <f>2000+RIGHT(Table1[[#This Row],[Release Date]],2)</f>
        <v>2016</v>
      </c>
      <c r="O271">
        <f>_xlfn.MAXIFS(Table1[[#This Row],[Total Shipped]]:Table1[[#This Row],[Total Sales]],Table1[[#This Row],[Total Shipped]]:Table1[[#This Row],[Total Sales]],"&lt;&gt;#N/A")</f>
        <v>0.87</v>
      </c>
      <c r="P271">
        <f>_xlfn.MAXIFS(Table1[[#This Row],[VGChartz Score]:[User Score]],Table1[[#This Row],[VGChartz Score]:[User Score]],"&lt;&gt;#N/A")</f>
        <v>6.2</v>
      </c>
    </row>
    <row r="272" spans="1:16" hidden="1" x14ac:dyDescent="0.2">
      <c r="A272">
        <f t="shared" si="4"/>
        <v>271</v>
      </c>
      <c r="B272">
        <v>71</v>
      </c>
      <c r="C272" t="s">
        <v>138</v>
      </c>
      <c r="D272" t="s">
        <v>1244</v>
      </c>
      <c r="E272" t="s">
        <v>1102</v>
      </c>
      <c r="F272" t="s">
        <v>321</v>
      </c>
      <c r="G272" t="e">
        <v>#N/A</v>
      </c>
      <c r="H272" t="e">
        <v>#N/A</v>
      </c>
      <c r="I272" t="e">
        <v>#N/A</v>
      </c>
      <c r="J272" s="1" t="e">
        <v>#N/A</v>
      </c>
      <c r="K272" s="1">
        <v>0.86</v>
      </c>
      <c r="L272" t="s">
        <v>1245</v>
      </c>
      <c r="M272" t="s">
        <v>1246</v>
      </c>
      <c r="N272">
        <f>2000+RIGHT(Table1[[#This Row],[Release Date]],2)</f>
        <v>2012</v>
      </c>
      <c r="O272">
        <f>_xlfn.MAXIFS(Table1[[#This Row],[Total Shipped]]:Table1[[#This Row],[Total Sales]],Table1[[#This Row],[Total Shipped]]:Table1[[#This Row],[Total Sales]],"&lt;&gt;#N/A")</f>
        <v>0.86</v>
      </c>
      <c r="P272">
        <f>_xlfn.MAXIFS(Table1[[#This Row],[VGChartz Score]:[User Score]],Table1[[#This Row],[VGChartz Score]:[User Score]],"&lt;&gt;#N/A")</f>
        <v>0</v>
      </c>
    </row>
    <row r="273" spans="1:16" hidden="1" x14ac:dyDescent="0.2">
      <c r="A273">
        <f t="shared" si="4"/>
        <v>272</v>
      </c>
      <c r="B273">
        <v>72</v>
      </c>
      <c r="C273" t="s">
        <v>138</v>
      </c>
      <c r="D273" t="s">
        <v>1247</v>
      </c>
      <c r="E273" t="s">
        <v>1102</v>
      </c>
      <c r="F273" t="s">
        <v>321</v>
      </c>
      <c r="G273" t="e">
        <v>#N/A</v>
      </c>
      <c r="H273" t="e">
        <v>#N/A</v>
      </c>
      <c r="I273" t="e">
        <v>#N/A</v>
      </c>
      <c r="J273" s="2" t="e">
        <v>#N/A</v>
      </c>
      <c r="K273" s="2">
        <v>0.85</v>
      </c>
      <c r="L273" t="s">
        <v>1248</v>
      </c>
      <c r="M273" t="s">
        <v>550</v>
      </c>
      <c r="N273">
        <f>2000+RIGHT(Table1[[#This Row],[Release Date]],2)</f>
        <v>2015</v>
      </c>
      <c r="O273">
        <f>_xlfn.MAXIFS(Table1[[#This Row],[Total Shipped]]:Table1[[#This Row],[Total Sales]],Table1[[#This Row],[Total Shipped]]:Table1[[#This Row],[Total Sales]],"&lt;&gt;#N/A")</f>
        <v>0.85</v>
      </c>
      <c r="P273">
        <f>_xlfn.MAXIFS(Table1[[#This Row],[VGChartz Score]:[User Score]],Table1[[#This Row],[VGChartz Score]:[User Score]],"&lt;&gt;#N/A")</f>
        <v>0</v>
      </c>
    </row>
    <row r="274" spans="1:16" hidden="1" x14ac:dyDescent="0.2">
      <c r="A274">
        <f t="shared" si="4"/>
        <v>273</v>
      </c>
      <c r="B274">
        <v>73</v>
      </c>
      <c r="C274" t="s">
        <v>138</v>
      </c>
      <c r="D274" t="s">
        <v>1249</v>
      </c>
      <c r="E274" t="s">
        <v>1102</v>
      </c>
      <c r="F274" t="s">
        <v>1</v>
      </c>
      <c r="G274" t="e">
        <v>#N/A</v>
      </c>
      <c r="H274">
        <v>8.1</v>
      </c>
      <c r="I274" t="e">
        <v>#N/A</v>
      </c>
      <c r="J274" s="1" t="e">
        <v>#N/A</v>
      </c>
      <c r="K274" s="1">
        <v>0.82</v>
      </c>
      <c r="L274" t="s">
        <v>1250</v>
      </c>
      <c r="M274" t="s">
        <v>1201</v>
      </c>
      <c r="N274">
        <f>2000+RIGHT(Table1[[#This Row],[Release Date]],2)</f>
        <v>2014</v>
      </c>
      <c r="O274">
        <f>_xlfn.MAXIFS(Table1[[#This Row],[Total Shipped]]:Table1[[#This Row],[Total Sales]],Table1[[#This Row],[Total Shipped]]:Table1[[#This Row],[Total Sales]],"&lt;&gt;#N/A")</f>
        <v>0.82</v>
      </c>
      <c r="P274">
        <f>_xlfn.MAXIFS(Table1[[#This Row],[VGChartz Score]:[User Score]],Table1[[#This Row],[VGChartz Score]:[User Score]],"&lt;&gt;#N/A")</f>
        <v>8.1</v>
      </c>
    </row>
    <row r="275" spans="1:16" hidden="1" x14ac:dyDescent="0.2">
      <c r="A275">
        <f t="shared" si="4"/>
        <v>274</v>
      </c>
      <c r="B275">
        <v>74</v>
      </c>
      <c r="C275" t="s">
        <v>138</v>
      </c>
      <c r="D275" t="s">
        <v>1251</v>
      </c>
      <c r="E275" t="s">
        <v>1102</v>
      </c>
      <c r="F275" t="s">
        <v>1</v>
      </c>
      <c r="G275" t="e">
        <v>#N/A</v>
      </c>
      <c r="H275" t="e">
        <v>#N/A</v>
      </c>
      <c r="I275" t="e">
        <v>#N/A</v>
      </c>
      <c r="J275" s="2" t="e">
        <v>#N/A</v>
      </c>
      <c r="K275" s="2">
        <v>0.81</v>
      </c>
      <c r="L275" t="s">
        <v>1252</v>
      </c>
      <c r="M275" t="s">
        <v>1169</v>
      </c>
      <c r="N275">
        <f>2000+RIGHT(Table1[[#This Row],[Release Date]],2)</f>
        <v>2019</v>
      </c>
      <c r="O275">
        <f>_xlfn.MAXIFS(Table1[[#This Row],[Total Shipped]]:Table1[[#This Row],[Total Sales]],Table1[[#This Row],[Total Shipped]]:Table1[[#This Row],[Total Sales]],"&lt;&gt;#N/A")</f>
        <v>0.81</v>
      </c>
      <c r="P275">
        <f>_xlfn.MAXIFS(Table1[[#This Row],[VGChartz Score]:[User Score]],Table1[[#This Row],[VGChartz Score]:[User Score]],"&lt;&gt;#N/A")</f>
        <v>0</v>
      </c>
    </row>
    <row r="276" spans="1:16" hidden="1" x14ac:dyDescent="0.2">
      <c r="A276">
        <f t="shared" si="4"/>
        <v>275</v>
      </c>
      <c r="B276">
        <v>75</v>
      </c>
      <c r="C276" t="s">
        <v>138</v>
      </c>
      <c r="D276" t="s">
        <v>1253</v>
      </c>
      <c r="E276" t="s">
        <v>1102</v>
      </c>
      <c r="F276" t="s">
        <v>1</v>
      </c>
      <c r="G276" t="e">
        <v>#N/A</v>
      </c>
      <c r="H276">
        <v>8</v>
      </c>
      <c r="I276" t="e">
        <v>#N/A</v>
      </c>
      <c r="J276" s="1" t="e">
        <v>#N/A</v>
      </c>
      <c r="K276" s="1">
        <v>0.81</v>
      </c>
      <c r="L276" t="s">
        <v>1254</v>
      </c>
      <c r="M276" t="s">
        <v>1201</v>
      </c>
      <c r="N276">
        <f>2000+RIGHT(Table1[[#This Row],[Release Date]],2)</f>
        <v>2014</v>
      </c>
      <c r="O276">
        <f>_xlfn.MAXIFS(Table1[[#This Row],[Total Shipped]]:Table1[[#This Row],[Total Sales]],Table1[[#This Row],[Total Shipped]]:Table1[[#This Row],[Total Sales]],"&lt;&gt;#N/A")</f>
        <v>0.81</v>
      </c>
      <c r="P276">
        <f>_xlfn.MAXIFS(Table1[[#This Row],[VGChartz Score]:[User Score]],Table1[[#This Row],[VGChartz Score]:[User Score]],"&lt;&gt;#N/A")</f>
        <v>8</v>
      </c>
    </row>
    <row r="277" spans="1:16" hidden="1" x14ac:dyDescent="0.2">
      <c r="A277">
        <f t="shared" si="4"/>
        <v>276</v>
      </c>
      <c r="B277">
        <v>76</v>
      </c>
      <c r="C277" t="s">
        <v>138</v>
      </c>
      <c r="D277" t="s">
        <v>1255</v>
      </c>
      <c r="E277" t="s">
        <v>1102</v>
      </c>
      <c r="F277" t="s">
        <v>254</v>
      </c>
      <c r="G277" t="e">
        <v>#N/A</v>
      </c>
      <c r="H277" t="e">
        <v>#N/A</v>
      </c>
      <c r="I277" t="e">
        <v>#N/A</v>
      </c>
      <c r="J277" s="2" t="e">
        <v>#N/A</v>
      </c>
      <c r="K277" s="2">
        <v>0.79</v>
      </c>
      <c r="L277" t="s">
        <v>1256</v>
      </c>
      <c r="M277" t="s">
        <v>1201</v>
      </c>
      <c r="N277">
        <f>2000+RIGHT(Table1[[#This Row],[Release Date]],2)</f>
        <v>2014</v>
      </c>
      <c r="O277">
        <f>_xlfn.MAXIFS(Table1[[#This Row],[Total Shipped]]:Table1[[#This Row],[Total Sales]],Table1[[#This Row],[Total Shipped]]:Table1[[#This Row],[Total Sales]],"&lt;&gt;#N/A")</f>
        <v>0.79</v>
      </c>
      <c r="P277">
        <f>_xlfn.MAXIFS(Table1[[#This Row],[VGChartz Score]:[User Score]],Table1[[#This Row],[VGChartz Score]:[User Score]],"&lt;&gt;#N/A")</f>
        <v>0</v>
      </c>
    </row>
    <row r="278" spans="1:16" hidden="1" x14ac:dyDescent="0.2">
      <c r="A278">
        <f t="shared" ref="A278:A301" si="5">ROW()-1</f>
        <v>277</v>
      </c>
      <c r="B278">
        <v>77</v>
      </c>
      <c r="C278" t="s">
        <v>138</v>
      </c>
      <c r="D278" t="s">
        <v>715</v>
      </c>
      <c r="E278" t="s">
        <v>1102</v>
      </c>
      <c r="F278" t="s">
        <v>324</v>
      </c>
      <c r="G278" t="e">
        <v>#N/A</v>
      </c>
      <c r="H278">
        <v>5.6</v>
      </c>
      <c r="I278" t="e">
        <v>#N/A</v>
      </c>
      <c r="J278" s="1" t="e">
        <v>#N/A</v>
      </c>
      <c r="K278" s="1">
        <v>0.77</v>
      </c>
      <c r="L278" t="s">
        <v>1131</v>
      </c>
      <c r="M278" t="e">
        <v>#N/A</v>
      </c>
      <c r="N278">
        <f>2000+RIGHT(Table1[[#This Row],[Release Date]],2)</f>
        <v>2011</v>
      </c>
      <c r="O278">
        <f>_xlfn.MAXIFS(Table1[[#This Row],[Total Shipped]]:Table1[[#This Row],[Total Sales]],Table1[[#This Row],[Total Shipped]]:Table1[[#This Row],[Total Sales]],"&lt;&gt;#N/A")</f>
        <v>0.77</v>
      </c>
      <c r="P278">
        <f>_xlfn.MAXIFS(Table1[[#This Row],[VGChartz Score]:[User Score]],Table1[[#This Row],[VGChartz Score]:[User Score]],"&lt;&gt;#N/A")</f>
        <v>5.6</v>
      </c>
    </row>
    <row r="279" spans="1:16" hidden="1" x14ac:dyDescent="0.2">
      <c r="A279">
        <f t="shared" si="5"/>
        <v>278</v>
      </c>
      <c r="B279">
        <v>78</v>
      </c>
      <c r="C279" t="s">
        <v>138</v>
      </c>
      <c r="D279" t="s">
        <v>1257</v>
      </c>
      <c r="E279" t="s">
        <v>1102</v>
      </c>
      <c r="F279" t="s">
        <v>321</v>
      </c>
      <c r="G279" t="e">
        <v>#N/A</v>
      </c>
      <c r="H279" t="e">
        <v>#N/A</v>
      </c>
      <c r="I279" t="e">
        <v>#N/A</v>
      </c>
      <c r="J279" s="2" t="e">
        <v>#N/A</v>
      </c>
      <c r="K279" s="2">
        <v>0.72</v>
      </c>
      <c r="L279" t="s">
        <v>1151</v>
      </c>
      <c r="M279" t="s">
        <v>1258</v>
      </c>
      <c r="N279">
        <f>2000+RIGHT(Table1[[#This Row],[Release Date]],2)</f>
        <v>2014</v>
      </c>
      <c r="O279">
        <f>_xlfn.MAXIFS(Table1[[#This Row],[Total Shipped]]:Table1[[#This Row],[Total Sales]],Table1[[#This Row],[Total Shipped]]:Table1[[#This Row],[Total Sales]],"&lt;&gt;#N/A")</f>
        <v>0.72</v>
      </c>
      <c r="P279">
        <f>_xlfn.MAXIFS(Table1[[#This Row],[VGChartz Score]:[User Score]],Table1[[#This Row],[VGChartz Score]:[User Score]],"&lt;&gt;#N/A")</f>
        <v>0</v>
      </c>
    </row>
    <row r="280" spans="1:16" hidden="1" x14ac:dyDescent="0.2">
      <c r="A280">
        <f t="shared" si="5"/>
        <v>279</v>
      </c>
      <c r="B280">
        <v>79</v>
      </c>
      <c r="C280" t="s">
        <v>138</v>
      </c>
      <c r="D280" t="s">
        <v>1259</v>
      </c>
      <c r="E280" t="s">
        <v>1102</v>
      </c>
      <c r="F280" t="s">
        <v>1</v>
      </c>
      <c r="G280" t="e">
        <v>#N/A</v>
      </c>
      <c r="H280" t="e">
        <v>#N/A</v>
      </c>
      <c r="I280" t="e">
        <v>#N/A</v>
      </c>
      <c r="J280" s="1" t="e">
        <v>#N/A</v>
      </c>
      <c r="K280" s="1">
        <v>0.7</v>
      </c>
      <c r="L280" t="s">
        <v>1260</v>
      </c>
      <c r="M280" t="s">
        <v>1261</v>
      </c>
      <c r="N280">
        <f>2000+RIGHT(Table1[[#This Row],[Release Date]],2)</f>
        <v>2016</v>
      </c>
      <c r="O280">
        <f>_xlfn.MAXIFS(Table1[[#This Row],[Total Shipped]]:Table1[[#This Row],[Total Sales]],Table1[[#This Row],[Total Shipped]]:Table1[[#This Row],[Total Sales]],"&lt;&gt;#N/A")</f>
        <v>0.7</v>
      </c>
      <c r="P280">
        <f>_xlfn.MAXIFS(Table1[[#This Row],[VGChartz Score]:[User Score]],Table1[[#This Row],[VGChartz Score]:[User Score]],"&lt;&gt;#N/A")</f>
        <v>0</v>
      </c>
    </row>
    <row r="281" spans="1:16" hidden="1" x14ac:dyDescent="0.2">
      <c r="A281">
        <f t="shared" si="5"/>
        <v>280</v>
      </c>
      <c r="B281">
        <v>80</v>
      </c>
      <c r="C281" t="s">
        <v>138</v>
      </c>
      <c r="D281" t="s">
        <v>1262</v>
      </c>
      <c r="E281" t="s">
        <v>1102</v>
      </c>
      <c r="F281" t="s">
        <v>1</v>
      </c>
      <c r="G281" t="e">
        <v>#N/A</v>
      </c>
      <c r="H281">
        <v>7.4</v>
      </c>
      <c r="I281" t="e">
        <v>#N/A</v>
      </c>
      <c r="J281" s="2">
        <v>0.7</v>
      </c>
      <c r="K281" s="2" t="e">
        <v>#N/A</v>
      </c>
      <c r="L281" t="s">
        <v>1263</v>
      </c>
      <c r="M281" t="s">
        <v>1264</v>
      </c>
      <c r="N281">
        <f>2000+RIGHT(Table1[[#This Row],[Release Date]],2)</f>
        <v>2016</v>
      </c>
      <c r="O281">
        <f>_xlfn.MAXIFS(Table1[[#This Row],[Total Shipped]]:Table1[[#This Row],[Total Sales]],Table1[[#This Row],[Total Shipped]]:Table1[[#This Row],[Total Sales]],"&lt;&gt;#N/A")</f>
        <v>0.7</v>
      </c>
      <c r="P281">
        <f>_xlfn.MAXIFS(Table1[[#This Row],[VGChartz Score]:[User Score]],Table1[[#This Row],[VGChartz Score]:[User Score]],"&lt;&gt;#N/A")</f>
        <v>7.4</v>
      </c>
    </row>
    <row r="282" spans="1:16" hidden="1" x14ac:dyDescent="0.2">
      <c r="A282">
        <f t="shared" si="5"/>
        <v>281</v>
      </c>
      <c r="B282">
        <v>81</v>
      </c>
      <c r="C282" t="s">
        <v>138</v>
      </c>
      <c r="D282" t="s">
        <v>1265</v>
      </c>
      <c r="E282" t="s">
        <v>1102</v>
      </c>
      <c r="F282" t="s">
        <v>69</v>
      </c>
      <c r="G282" t="e">
        <v>#N/A</v>
      </c>
      <c r="H282">
        <v>8.1</v>
      </c>
      <c r="I282" t="e">
        <v>#N/A</v>
      </c>
      <c r="J282" s="1" t="e">
        <v>#N/A</v>
      </c>
      <c r="K282" s="1">
        <v>0.7</v>
      </c>
      <c r="L282" t="s">
        <v>1266</v>
      </c>
      <c r="M282" t="s">
        <v>1267</v>
      </c>
      <c r="N282">
        <f>2000+RIGHT(Table1[[#This Row],[Release Date]],2)</f>
        <v>2017</v>
      </c>
      <c r="O282">
        <f>_xlfn.MAXIFS(Table1[[#This Row],[Total Shipped]]:Table1[[#This Row],[Total Sales]],Table1[[#This Row],[Total Shipped]]:Table1[[#This Row],[Total Sales]],"&lt;&gt;#N/A")</f>
        <v>0.7</v>
      </c>
      <c r="P282">
        <f>_xlfn.MAXIFS(Table1[[#This Row],[VGChartz Score]:[User Score]],Table1[[#This Row],[VGChartz Score]:[User Score]],"&lt;&gt;#N/A")</f>
        <v>8.1</v>
      </c>
    </row>
    <row r="283" spans="1:16" hidden="1" x14ac:dyDescent="0.2">
      <c r="A283">
        <f t="shared" si="5"/>
        <v>282</v>
      </c>
      <c r="B283">
        <v>82</v>
      </c>
      <c r="C283" t="s">
        <v>138</v>
      </c>
      <c r="D283" t="s">
        <v>1268</v>
      </c>
      <c r="E283" t="s">
        <v>1102</v>
      </c>
      <c r="F283" t="s">
        <v>1</v>
      </c>
      <c r="G283" t="e">
        <v>#N/A</v>
      </c>
      <c r="H283">
        <v>5</v>
      </c>
      <c r="I283" t="e">
        <v>#N/A</v>
      </c>
      <c r="J283" s="2" t="e">
        <v>#N/A</v>
      </c>
      <c r="K283" s="2">
        <v>0.69</v>
      </c>
      <c r="L283" t="s">
        <v>524</v>
      </c>
      <c r="M283" t="s">
        <v>1154</v>
      </c>
      <c r="N283">
        <f>2000+RIGHT(Table1[[#This Row],[Release Date]],2)</f>
        <v>2017</v>
      </c>
      <c r="O283">
        <f>_xlfn.MAXIFS(Table1[[#This Row],[Total Shipped]]:Table1[[#This Row],[Total Sales]],Table1[[#This Row],[Total Shipped]]:Table1[[#This Row],[Total Sales]],"&lt;&gt;#N/A")</f>
        <v>0.69</v>
      </c>
      <c r="P283">
        <f>_xlfn.MAXIFS(Table1[[#This Row],[VGChartz Score]:[User Score]],Table1[[#This Row],[VGChartz Score]:[User Score]],"&lt;&gt;#N/A")</f>
        <v>5</v>
      </c>
    </row>
    <row r="284" spans="1:16" hidden="1" x14ac:dyDescent="0.2">
      <c r="A284">
        <f t="shared" si="5"/>
        <v>283</v>
      </c>
      <c r="B284">
        <v>83</v>
      </c>
      <c r="C284" t="s">
        <v>138</v>
      </c>
      <c r="D284" t="s">
        <v>1269</v>
      </c>
      <c r="E284" t="s">
        <v>1102</v>
      </c>
      <c r="F284" t="s">
        <v>1270</v>
      </c>
      <c r="G284" t="e">
        <v>#N/A</v>
      </c>
      <c r="H284" t="e">
        <v>#N/A</v>
      </c>
      <c r="I284" t="e">
        <v>#N/A</v>
      </c>
      <c r="J284" s="1" t="e">
        <v>#N/A</v>
      </c>
      <c r="K284" s="1">
        <v>0.68</v>
      </c>
      <c r="L284" t="s">
        <v>692</v>
      </c>
      <c r="M284" t="s">
        <v>1264</v>
      </c>
      <c r="N284">
        <f>2000+RIGHT(Table1[[#This Row],[Release Date]],2)</f>
        <v>2013</v>
      </c>
      <c r="O284">
        <f>_xlfn.MAXIFS(Table1[[#This Row],[Total Shipped]]:Table1[[#This Row],[Total Sales]],Table1[[#This Row],[Total Shipped]]:Table1[[#This Row],[Total Sales]],"&lt;&gt;#N/A")</f>
        <v>0.68</v>
      </c>
      <c r="P284">
        <f>_xlfn.MAXIFS(Table1[[#This Row],[VGChartz Score]:[User Score]],Table1[[#This Row],[VGChartz Score]:[User Score]],"&lt;&gt;#N/A")</f>
        <v>0</v>
      </c>
    </row>
    <row r="285" spans="1:16" hidden="1" x14ac:dyDescent="0.2">
      <c r="A285">
        <f t="shared" si="5"/>
        <v>284</v>
      </c>
      <c r="B285">
        <v>84</v>
      </c>
      <c r="C285" t="s">
        <v>138</v>
      </c>
      <c r="D285" t="s">
        <v>1271</v>
      </c>
      <c r="E285" t="s">
        <v>1102</v>
      </c>
      <c r="F285" t="s">
        <v>1272</v>
      </c>
      <c r="G285" t="e">
        <v>#N/A</v>
      </c>
      <c r="H285" t="e">
        <v>#N/A</v>
      </c>
      <c r="I285" t="e">
        <v>#N/A</v>
      </c>
      <c r="J285" s="2" t="e">
        <v>#N/A</v>
      </c>
      <c r="K285" s="2">
        <v>0.68</v>
      </c>
      <c r="L285" t="s">
        <v>1273</v>
      </c>
      <c r="M285" t="s">
        <v>1201</v>
      </c>
      <c r="N285">
        <f>2000+RIGHT(Table1[[#This Row],[Release Date]],2)</f>
        <v>2013</v>
      </c>
      <c r="O285">
        <f>_xlfn.MAXIFS(Table1[[#This Row],[Total Shipped]]:Table1[[#This Row],[Total Sales]],Table1[[#This Row],[Total Shipped]]:Table1[[#This Row],[Total Sales]],"&lt;&gt;#N/A")</f>
        <v>0.68</v>
      </c>
      <c r="P285">
        <f>_xlfn.MAXIFS(Table1[[#This Row],[VGChartz Score]:[User Score]],Table1[[#This Row],[VGChartz Score]:[User Score]],"&lt;&gt;#N/A")</f>
        <v>0</v>
      </c>
    </row>
    <row r="286" spans="1:16" hidden="1" x14ac:dyDescent="0.2">
      <c r="A286">
        <f t="shared" si="5"/>
        <v>285</v>
      </c>
      <c r="B286">
        <v>85</v>
      </c>
      <c r="C286" t="s">
        <v>138</v>
      </c>
      <c r="D286" t="s">
        <v>1274</v>
      </c>
      <c r="E286" t="s">
        <v>1102</v>
      </c>
      <c r="F286" t="s">
        <v>233</v>
      </c>
      <c r="G286" t="e">
        <v>#N/A</v>
      </c>
      <c r="H286" t="e">
        <v>#N/A</v>
      </c>
      <c r="I286" t="e">
        <v>#N/A</v>
      </c>
      <c r="J286" s="1" t="e">
        <v>#N/A</v>
      </c>
      <c r="K286" s="1">
        <v>0.65</v>
      </c>
      <c r="L286" t="s">
        <v>549</v>
      </c>
      <c r="M286" t="s">
        <v>1201</v>
      </c>
      <c r="N286">
        <f>2000+RIGHT(Table1[[#This Row],[Release Date]],2)</f>
        <v>2012</v>
      </c>
      <c r="O286">
        <f>_xlfn.MAXIFS(Table1[[#This Row],[Total Shipped]]:Table1[[#This Row],[Total Sales]],Table1[[#This Row],[Total Shipped]]:Table1[[#This Row],[Total Sales]],"&lt;&gt;#N/A")</f>
        <v>0.65</v>
      </c>
      <c r="P286">
        <f>_xlfn.MAXIFS(Table1[[#This Row],[VGChartz Score]:[User Score]],Table1[[#This Row],[VGChartz Score]:[User Score]],"&lt;&gt;#N/A")</f>
        <v>0</v>
      </c>
    </row>
    <row r="287" spans="1:16" hidden="1" x14ac:dyDescent="0.2">
      <c r="A287">
        <f t="shared" si="5"/>
        <v>286</v>
      </c>
      <c r="B287">
        <v>86</v>
      </c>
      <c r="C287" t="s">
        <v>138</v>
      </c>
      <c r="D287" t="s">
        <v>1275</v>
      </c>
      <c r="E287" t="s">
        <v>1102</v>
      </c>
      <c r="F287" t="s">
        <v>254</v>
      </c>
      <c r="G287" t="e">
        <v>#N/A</v>
      </c>
      <c r="H287" t="e">
        <v>#N/A</v>
      </c>
      <c r="I287" t="e">
        <v>#N/A</v>
      </c>
      <c r="J287" s="2" t="e">
        <v>#N/A</v>
      </c>
      <c r="K287" s="2">
        <v>0.65</v>
      </c>
      <c r="L287" t="s">
        <v>1276</v>
      </c>
      <c r="M287" t="s">
        <v>1201</v>
      </c>
      <c r="N287">
        <f>2000+RIGHT(Table1[[#This Row],[Release Date]],2)</f>
        <v>2016</v>
      </c>
      <c r="O287">
        <f>_xlfn.MAXIFS(Table1[[#This Row],[Total Shipped]]:Table1[[#This Row],[Total Sales]],Table1[[#This Row],[Total Shipped]]:Table1[[#This Row],[Total Sales]],"&lt;&gt;#N/A")</f>
        <v>0.65</v>
      </c>
      <c r="P287">
        <f>_xlfn.MAXIFS(Table1[[#This Row],[VGChartz Score]:[User Score]],Table1[[#This Row],[VGChartz Score]:[User Score]],"&lt;&gt;#N/A")</f>
        <v>0</v>
      </c>
    </row>
    <row r="288" spans="1:16" hidden="1" x14ac:dyDescent="0.2">
      <c r="A288">
        <f t="shared" si="5"/>
        <v>287</v>
      </c>
      <c r="B288">
        <v>87</v>
      </c>
      <c r="C288" t="s">
        <v>138</v>
      </c>
      <c r="D288" t="s">
        <v>1277</v>
      </c>
      <c r="E288" t="s">
        <v>1102</v>
      </c>
      <c r="F288" t="s">
        <v>151</v>
      </c>
      <c r="G288">
        <v>6.7</v>
      </c>
      <c r="H288">
        <v>6.3</v>
      </c>
      <c r="I288" t="e">
        <v>#N/A</v>
      </c>
      <c r="J288" s="1" t="e">
        <v>#N/A</v>
      </c>
      <c r="K288" s="1">
        <v>0.64</v>
      </c>
      <c r="L288" t="s">
        <v>1278</v>
      </c>
      <c r="M288" t="e">
        <v>#N/A</v>
      </c>
      <c r="N288">
        <f>2000+RIGHT(Table1[[#This Row],[Release Date]],2)</f>
        <v>2011</v>
      </c>
      <c r="O288">
        <f>_xlfn.MAXIFS(Table1[[#This Row],[Total Shipped]]:Table1[[#This Row],[Total Sales]],Table1[[#This Row],[Total Shipped]]:Table1[[#This Row],[Total Sales]],"&lt;&gt;#N/A")</f>
        <v>0.64</v>
      </c>
      <c r="P288">
        <f>_xlfn.MAXIFS(Table1[[#This Row],[VGChartz Score]:[User Score]],Table1[[#This Row],[VGChartz Score]:[User Score]],"&lt;&gt;#N/A")</f>
        <v>6.7</v>
      </c>
    </row>
    <row r="289" spans="1:16" hidden="1" x14ac:dyDescent="0.2">
      <c r="A289">
        <f t="shared" si="5"/>
        <v>288</v>
      </c>
      <c r="B289">
        <v>88</v>
      </c>
      <c r="C289" t="s">
        <v>138</v>
      </c>
      <c r="D289" t="s">
        <v>1279</v>
      </c>
      <c r="E289" t="s">
        <v>1753</v>
      </c>
      <c r="F289" t="s">
        <v>321</v>
      </c>
      <c r="G289" t="e">
        <v>#N/A</v>
      </c>
      <c r="H289" t="e">
        <v>#N/A</v>
      </c>
      <c r="I289" t="e">
        <v>#N/A</v>
      </c>
      <c r="J289" s="2" t="e">
        <v>#N/A</v>
      </c>
      <c r="K289" s="2">
        <v>0.64</v>
      </c>
      <c r="L289" t="s">
        <v>530</v>
      </c>
      <c r="M289" t="s">
        <v>252</v>
      </c>
      <c r="N289">
        <f>2000+RIGHT(Table1[[#This Row],[Release Date]],2)</f>
        <v>2012</v>
      </c>
      <c r="O289">
        <f>_xlfn.MAXIFS(Table1[[#This Row],[Total Shipped]]:Table1[[#This Row],[Total Sales]],Table1[[#This Row],[Total Shipped]]:Table1[[#This Row],[Total Sales]],"&lt;&gt;#N/A")</f>
        <v>0.64</v>
      </c>
      <c r="P289">
        <f>_xlfn.MAXIFS(Table1[[#This Row],[VGChartz Score]:[User Score]],Table1[[#This Row],[VGChartz Score]:[User Score]],"&lt;&gt;#N/A")</f>
        <v>0</v>
      </c>
    </row>
    <row r="290" spans="1:16" hidden="1" x14ac:dyDescent="0.2">
      <c r="A290">
        <f t="shared" si="5"/>
        <v>289</v>
      </c>
      <c r="B290">
        <v>89</v>
      </c>
      <c r="C290" t="s">
        <v>138</v>
      </c>
      <c r="D290" t="s">
        <v>1280</v>
      </c>
      <c r="E290" t="s">
        <v>1102</v>
      </c>
      <c r="F290" t="s">
        <v>979</v>
      </c>
      <c r="G290" t="e">
        <v>#N/A</v>
      </c>
      <c r="H290">
        <v>7</v>
      </c>
      <c r="I290" t="e">
        <v>#N/A</v>
      </c>
      <c r="J290" s="1" t="e">
        <v>#N/A</v>
      </c>
      <c r="K290" s="1">
        <v>0.63</v>
      </c>
      <c r="L290" t="s">
        <v>1281</v>
      </c>
      <c r="M290" t="s">
        <v>1264</v>
      </c>
      <c r="N290">
        <f>2000+RIGHT(Table1[[#This Row],[Release Date]],2)</f>
        <v>2011</v>
      </c>
      <c r="O290">
        <f>_xlfn.MAXIFS(Table1[[#This Row],[Total Shipped]]:Table1[[#This Row],[Total Sales]],Table1[[#This Row],[Total Shipped]]:Table1[[#This Row],[Total Sales]],"&lt;&gt;#N/A")</f>
        <v>0.63</v>
      </c>
      <c r="P290">
        <f>_xlfn.MAXIFS(Table1[[#This Row],[VGChartz Score]:[User Score]],Table1[[#This Row],[VGChartz Score]:[User Score]],"&lt;&gt;#N/A")</f>
        <v>7</v>
      </c>
    </row>
    <row r="291" spans="1:16" hidden="1" x14ac:dyDescent="0.2">
      <c r="A291">
        <f t="shared" si="5"/>
        <v>290</v>
      </c>
      <c r="B291">
        <v>90</v>
      </c>
      <c r="C291" t="s">
        <v>138</v>
      </c>
      <c r="D291" t="s">
        <v>1282</v>
      </c>
      <c r="E291" t="s">
        <v>1102</v>
      </c>
      <c r="F291" t="s">
        <v>945</v>
      </c>
      <c r="G291">
        <v>5.3</v>
      </c>
      <c r="H291" t="e">
        <v>#N/A</v>
      </c>
      <c r="I291" t="e">
        <v>#N/A</v>
      </c>
      <c r="J291" s="2" t="e">
        <v>#N/A</v>
      </c>
      <c r="K291" s="2">
        <v>0.63</v>
      </c>
      <c r="L291" t="s">
        <v>600</v>
      </c>
      <c r="M291" t="e">
        <v>#N/A</v>
      </c>
      <c r="N291">
        <f>2000+RIGHT(Table1[[#This Row],[Release Date]],2)</f>
        <v>2011</v>
      </c>
      <c r="O291">
        <f>_xlfn.MAXIFS(Table1[[#This Row],[Total Shipped]]:Table1[[#This Row],[Total Sales]],Table1[[#This Row],[Total Shipped]]:Table1[[#This Row],[Total Sales]],"&lt;&gt;#N/A")</f>
        <v>0.63</v>
      </c>
      <c r="P291">
        <f>_xlfn.MAXIFS(Table1[[#This Row],[VGChartz Score]:[User Score]],Table1[[#This Row],[VGChartz Score]:[User Score]],"&lt;&gt;#N/A")</f>
        <v>5.3</v>
      </c>
    </row>
    <row r="292" spans="1:16" hidden="1" x14ac:dyDescent="0.2">
      <c r="A292">
        <f t="shared" si="5"/>
        <v>291</v>
      </c>
      <c r="B292">
        <v>91</v>
      </c>
      <c r="C292" t="s">
        <v>138</v>
      </c>
      <c r="D292" t="s">
        <v>1283</v>
      </c>
      <c r="E292" t="s">
        <v>1102</v>
      </c>
      <c r="F292" t="s">
        <v>175</v>
      </c>
      <c r="G292" t="e">
        <v>#N/A</v>
      </c>
      <c r="H292" t="e">
        <v>#N/A</v>
      </c>
      <c r="I292" t="e">
        <v>#N/A</v>
      </c>
      <c r="J292" s="1" t="e">
        <v>#N/A</v>
      </c>
      <c r="K292" s="1">
        <v>0.62</v>
      </c>
      <c r="L292" t="s">
        <v>1284</v>
      </c>
      <c r="M292" t="s">
        <v>90</v>
      </c>
      <c r="N292">
        <f>2000+RIGHT(Table1[[#This Row],[Release Date]],2)</f>
        <v>2012</v>
      </c>
      <c r="O292">
        <f>_xlfn.MAXIFS(Table1[[#This Row],[Total Shipped]]:Table1[[#This Row],[Total Sales]],Table1[[#This Row],[Total Shipped]]:Table1[[#This Row],[Total Sales]],"&lt;&gt;#N/A")</f>
        <v>0.62</v>
      </c>
      <c r="P292">
        <f>_xlfn.MAXIFS(Table1[[#This Row],[VGChartz Score]:[User Score]],Table1[[#This Row],[VGChartz Score]:[User Score]],"&lt;&gt;#N/A")</f>
        <v>0</v>
      </c>
    </row>
    <row r="293" spans="1:16" hidden="1" x14ac:dyDescent="0.2">
      <c r="A293">
        <f t="shared" si="5"/>
        <v>292</v>
      </c>
      <c r="B293">
        <v>92</v>
      </c>
      <c r="C293" t="s">
        <v>138</v>
      </c>
      <c r="D293" t="s">
        <v>1285</v>
      </c>
      <c r="E293" t="s">
        <v>1102</v>
      </c>
      <c r="F293" t="s">
        <v>509</v>
      </c>
      <c r="G293">
        <v>8.6</v>
      </c>
      <c r="H293">
        <v>8.3000000000000007</v>
      </c>
      <c r="I293" t="e">
        <v>#N/A</v>
      </c>
      <c r="J293" s="2">
        <v>0.6</v>
      </c>
      <c r="K293" s="2" t="e">
        <v>#N/A</v>
      </c>
      <c r="L293" t="s">
        <v>1286</v>
      </c>
      <c r="M293" t="s">
        <v>137</v>
      </c>
      <c r="N293">
        <f>2000+RIGHT(Table1[[#This Row],[Release Date]],2)</f>
        <v>2013</v>
      </c>
      <c r="O293">
        <f>_xlfn.MAXIFS(Table1[[#This Row],[Total Shipped]]:Table1[[#This Row],[Total Sales]],Table1[[#This Row],[Total Shipped]]:Table1[[#This Row],[Total Sales]],"&lt;&gt;#N/A")</f>
        <v>0.6</v>
      </c>
      <c r="P293">
        <f>_xlfn.MAXIFS(Table1[[#This Row],[VGChartz Score]:[User Score]],Table1[[#This Row],[VGChartz Score]:[User Score]],"&lt;&gt;#N/A")</f>
        <v>8.6</v>
      </c>
    </row>
    <row r="294" spans="1:16" hidden="1" x14ac:dyDescent="0.2">
      <c r="A294">
        <f t="shared" si="5"/>
        <v>293</v>
      </c>
      <c r="B294">
        <v>93</v>
      </c>
      <c r="C294" t="s">
        <v>138</v>
      </c>
      <c r="D294" t="s">
        <v>1287</v>
      </c>
      <c r="E294" t="s">
        <v>1102</v>
      </c>
      <c r="F294" t="s">
        <v>254</v>
      </c>
      <c r="G294" t="e">
        <v>#N/A</v>
      </c>
      <c r="H294">
        <v>7.3</v>
      </c>
      <c r="I294" t="e">
        <v>#N/A</v>
      </c>
      <c r="J294" s="1" t="e">
        <v>#N/A</v>
      </c>
      <c r="K294" s="1">
        <v>0.59</v>
      </c>
      <c r="L294" t="s">
        <v>1288</v>
      </c>
      <c r="M294" t="s">
        <v>1264</v>
      </c>
      <c r="N294">
        <f>2000+RIGHT(Table1[[#This Row],[Release Date]],2)</f>
        <v>2016</v>
      </c>
      <c r="O294">
        <f>_xlfn.MAXIFS(Table1[[#This Row],[Total Shipped]]:Table1[[#This Row],[Total Sales]],Table1[[#This Row],[Total Shipped]]:Table1[[#This Row],[Total Sales]],"&lt;&gt;#N/A")</f>
        <v>0.59</v>
      </c>
      <c r="P294">
        <f>_xlfn.MAXIFS(Table1[[#This Row],[VGChartz Score]:[User Score]],Table1[[#This Row],[VGChartz Score]:[User Score]],"&lt;&gt;#N/A")</f>
        <v>7.3</v>
      </c>
    </row>
    <row r="295" spans="1:16" hidden="1" x14ac:dyDescent="0.2">
      <c r="A295">
        <f t="shared" si="5"/>
        <v>294</v>
      </c>
      <c r="B295">
        <v>94</v>
      </c>
      <c r="C295" t="s">
        <v>138</v>
      </c>
      <c r="D295" t="s">
        <v>1289</v>
      </c>
      <c r="E295" t="s">
        <v>1102</v>
      </c>
      <c r="F295" t="s">
        <v>233</v>
      </c>
      <c r="G295" t="e">
        <v>#N/A</v>
      </c>
      <c r="H295" t="e">
        <v>#N/A</v>
      </c>
      <c r="I295" t="e">
        <v>#N/A</v>
      </c>
      <c r="J295" s="2" t="e">
        <v>#N/A</v>
      </c>
      <c r="K295" s="2">
        <v>0.57999999999999996</v>
      </c>
      <c r="L295" t="s">
        <v>1290</v>
      </c>
      <c r="M295" t="e">
        <v>#N/A</v>
      </c>
      <c r="N295">
        <f>2000+RIGHT(Table1[[#This Row],[Release Date]],2)</f>
        <v>2011</v>
      </c>
      <c r="O295">
        <f>_xlfn.MAXIFS(Table1[[#This Row],[Total Shipped]]:Table1[[#This Row],[Total Sales]],Table1[[#This Row],[Total Shipped]]:Table1[[#This Row],[Total Sales]],"&lt;&gt;#N/A")</f>
        <v>0.57999999999999996</v>
      </c>
      <c r="P295">
        <f>_xlfn.MAXIFS(Table1[[#This Row],[VGChartz Score]:[User Score]],Table1[[#This Row],[VGChartz Score]:[User Score]],"&lt;&gt;#N/A")</f>
        <v>0</v>
      </c>
    </row>
    <row r="296" spans="1:16" hidden="1" x14ac:dyDescent="0.2">
      <c r="A296">
        <f t="shared" si="5"/>
        <v>295</v>
      </c>
      <c r="B296">
        <v>95</v>
      </c>
      <c r="C296" t="s">
        <v>138</v>
      </c>
      <c r="D296" t="s">
        <v>1291</v>
      </c>
      <c r="E296" t="s">
        <v>1102</v>
      </c>
      <c r="F296" t="s">
        <v>1</v>
      </c>
      <c r="G296" t="e">
        <v>#N/A</v>
      </c>
      <c r="H296">
        <v>7.5</v>
      </c>
      <c r="I296" t="e">
        <v>#N/A</v>
      </c>
      <c r="J296" s="1" t="e">
        <v>#N/A</v>
      </c>
      <c r="K296" s="1">
        <v>0.57999999999999996</v>
      </c>
      <c r="L296" t="s">
        <v>1292</v>
      </c>
      <c r="M296" t="s">
        <v>1264</v>
      </c>
      <c r="N296">
        <f>2000+RIGHT(Table1[[#This Row],[Release Date]],2)</f>
        <v>2016</v>
      </c>
      <c r="O296">
        <f>_xlfn.MAXIFS(Table1[[#This Row],[Total Shipped]]:Table1[[#This Row],[Total Sales]],Table1[[#This Row],[Total Shipped]]:Table1[[#This Row],[Total Sales]],"&lt;&gt;#N/A")</f>
        <v>0.57999999999999996</v>
      </c>
      <c r="P296">
        <f>_xlfn.MAXIFS(Table1[[#This Row],[VGChartz Score]:[User Score]],Table1[[#This Row],[VGChartz Score]:[User Score]],"&lt;&gt;#N/A")</f>
        <v>7.5</v>
      </c>
    </row>
    <row r="297" spans="1:16" hidden="1" x14ac:dyDescent="0.2">
      <c r="A297">
        <f t="shared" si="5"/>
        <v>296</v>
      </c>
      <c r="B297">
        <v>96</v>
      </c>
      <c r="C297" t="s">
        <v>138</v>
      </c>
      <c r="D297" t="s">
        <v>1293</v>
      </c>
      <c r="E297" t="s">
        <v>1102</v>
      </c>
      <c r="F297" t="s">
        <v>1023</v>
      </c>
      <c r="G297" t="e">
        <v>#N/A</v>
      </c>
      <c r="H297" t="e">
        <v>#N/A</v>
      </c>
      <c r="I297" t="e">
        <v>#N/A</v>
      </c>
      <c r="J297" s="2" t="e">
        <v>#N/A</v>
      </c>
      <c r="K297" s="2">
        <v>0.56999999999999995</v>
      </c>
      <c r="L297" t="s">
        <v>1294</v>
      </c>
      <c r="M297" t="s">
        <v>1264</v>
      </c>
      <c r="N297">
        <f>2000+RIGHT(Table1[[#This Row],[Release Date]],2)</f>
        <v>2016</v>
      </c>
      <c r="O297">
        <f>_xlfn.MAXIFS(Table1[[#This Row],[Total Shipped]]:Table1[[#This Row],[Total Sales]],Table1[[#This Row],[Total Shipped]]:Table1[[#This Row],[Total Sales]],"&lt;&gt;#N/A")</f>
        <v>0.56999999999999995</v>
      </c>
      <c r="P297">
        <f>_xlfn.MAXIFS(Table1[[#This Row],[VGChartz Score]:[User Score]],Table1[[#This Row],[VGChartz Score]:[User Score]],"&lt;&gt;#N/A")</f>
        <v>0</v>
      </c>
    </row>
    <row r="298" spans="1:16" hidden="1" x14ac:dyDescent="0.2">
      <c r="A298">
        <f t="shared" si="5"/>
        <v>297</v>
      </c>
      <c r="B298">
        <v>97</v>
      </c>
      <c r="C298" t="s">
        <v>138</v>
      </c>
      <c r="D298" t="s">
        <v>1295</v>
      </c>
      <c r="E298" t="s">
        <v>1102</v>
      </c>
      <c r="F298" t="s">
        <v>1</v>
      </c>
      <c r="G298" t="e">
        <v>#N/A</v>
      </c>
      <c r="H298">
        <v>8.6</v>
      </c>
      <c r="I298" t="e">
        <v>#N/A</v>
      </c>
      <c r="J298" s="1" t="e">
        <v>#N/A</v>
      </c>
      <c r="K298" s="1">
        <v>0.56000000000000005</v>
      </c>
      <c r="L298" t="s">
        <v>1296</v>
      </c>
      <c r="M298" t="s">
        <v>369</v>
      </c>
      <c r="N298">
        <f>2000+RIGHT(Table1[[#This Row],[Release Date]],2)</f>
        <v>2015</v>
      </c>
      <c r="O298">
        <f>_xlfn.MAXIFS(Table1[[#This Row],[Total Shipped]]:Table1[[#This Row],[Total Sales]],Table1[[#This Row],[Total Shipped]]:Table1[[#This Row],[Total Sales]],"&lt;&gt;#N/A")</f>
        <v>0.56000000000000005</v>
      </c>
      <c r="P298">
        <f>_xlfn.MAXIFS(Table1[[#This Row],[VGChartz Score]:[User Score]],Table1[[#This Row],[VGChartz Score]:[User Score]],"&lt;&gt;#N/A")</f>
        <v>8.6</v>
      </c>
    </row>
    <row r="299" spans="1:16" hidden="1" x14ac:dyDescent="0.2">
      <c r="A299">
        <f t="shared" si="5"/>
        <v>298</v>
      </c>
      <c r="B299">
        <v>98</v>
      </c>
      <c r="C299" t="s">
        <v>138</v>
      </c>
      <c r="D299" t="s">
        <v>1297</v>
      </c>
      <c r="E299" t="s">
        <v>1102</v>
      </c>
      <c r="F299" t="s">
        <v>1</v>
      </c>
      <c r="G299" t="e">
        <v>#N/A</v>
      </c>
      <c r="H299">
        <v>9.1</v>
      </c>
      <c r="I299" t="e">
        <v>#N/A</v>
      </c>
      <c r="J299" s="2" t="e">
        <v>#N/A</v>
      </c>
      <c r="K299" s="2">
        <v>0.56000000000000005</v>
      </c>
      <c r="L299" t="s">
        <v>1298</v>
      </c>
      <c r="M299" t="s">
        <v>1299</v>
      </c>
      <c r="N299">
        <f>2000+RIGHT(Table1[[#This Row],[Release Date]],2)</f>
        <v>2017</v>
      </c>
      <c r="O299">
        <f>_xlfn.MAXIFS(Table1[[#This Row],[Total Shipped]]:Table1[[#This Row],[Total Sales]],Table1[[#This Row],[Total Shipped]]:Table1[[#This Row],[Total Sales]],"&lt;&gt;#N/A")</f>
        <v>0.56000000000000005</v>
      </c>
      <c r="P299">
        <f>_xlfn.MAXIFS(Table1[[#This Row],[VGChartz Score]:[User Score]],Table1[[#This Row],[VGChartz Score]:[User Score]],"&lt;&gt;#N/A")</f>
        <v>9.1</v>
      </c>
    </row>
    <row r="300" spans="1:16" hidden="1" x14ac:dyDescent="0.2">
      <c r="A300">
        <f t="shared" si="5"/>
        <v>299</v>
      </c>
      <c r="B300">
        <v>99</v>
      </c>
      <c r="C300" t="s">
        <v>138</v>
      </c>
      <c r="D300" t="s">
        <v>1300</v>
      </c>
      <c r="E300" t="s">
        <v>1102</v>
      </c>
      <c r="F300" t="s">
        <v>1023</v>
      </c>
      <c r="G300" t="e">
        <v>#N/A</v>
      </c>
      <c r="H300" t="e">
        <v>#N/A</v>
      </c>
      <c r="I300" t="e">
        <v>#N/A</v>
      </c>
      <c r="J300" s="1" t="e">
        <v>#N/A</v>
      </c>
      <c r="K300" s="1">
        <v>0.55000000000000004</v>
      </c>
      <c r="L300" t="s">
        <v>1301</v>
      </c>
      <c r="M300" t="s">
        <v>425</v>
      </c>
      <c r="N300">
        <f>2000+RIGHT(Table1[[#This Row],[Release Date]],2)</f>
        <v>2017</v>
      </c>
      <c r="O300">
        <f>_xlfn.MAXIFS(Table1[[#This Row],[Total Shipped]]:Table1[[#This Row],[Total Sales]],Table1[[#This Row],[Total Shipped]]:Table1[[#This Row],[Total Sales]],"&lt;&gt;#N/A")</f>
        <v>0.55000000000000004</v>
      </c>
      <c r="P300">
        <f>_xlfn.MAXIFS(Table1[[#This Row],[VGChartz Score]:[User Score]],Table1[[#This Row],[VGChartz Score]:[User Score]],"&lt;&gt;#N/A")</f>
        <v>0</v>
      </c>
    </row>
    <row r="301" spans="1:16" hidden="1" x14ac:dyDescent="0.2">
      <c r="A301">
        <f t="shared" si="5"/>
        <v>300</v>
      </c>
      <c r="B301">
        <v>100</v>
      </c>
      <c r="C301" t="s">
        <v>138</v>
      </c>
      <c r="D301" t="s">
        <v>1302</v>
      </c>
      <c r="E301" t="s">
        <v>1102</v>
      </c>
      <c r="F301" t="s">
        <v>1023</v>
      </c>
      <c r="G301" t="e">
        <v>#N/A</v>
      </c>
      <c r="H301" t="e">
        <v>#N/A</v>
      </c>
      <c r="I301" t="e">
        <v>#N/A</v>
      </c>
      <c r="J301" s="2" t="e">
        <v>#N/A</v>
      </c>
      <c r="K301" s="2">
        <v>0.55000000000000004</v>
      </c>
      <c r="L301" t="s">
        <v>1303</v>
      </c>
      <c r="M301" t="s">
        <v>1264</v>
      </c>
      <c r="N301">
        <f>2000+RIGHT(Table1[[#This Row],[Release Date]],2)</f>
        <v>2011</v>
      </c>
      <c r="O301">
        <f>_xlfn.MAXIFS(Table1[[#This Row],[Total Shipped]]:Table1[[#This Row],[Total Sales]],Table1[[#This Row],[Total Shipped]]:Table1[[#This Row],[Total Sales]],"&lt;&gt;#N/A")</f>
        <v>0.55000000000000004</v>
      </c>
      <c r="P301">
        <f>_xlfn.MAXIFS(Table1[[#This Row],[VGChartz Score]:[User Score]],Table1[[#This Row],[VGChartz Score]:[User Score]],"&lt;&gt;#N/A")</f>
        <v>0</v>
      </c>
    </row>
    <row r="302" spans="1:16" hidden="1" x14ac:dyDescent="0.2">
      <c r="A302">
        <f t="shared" ref="A302:A355" si="6">ROW()-1</f>
        <v>301</v>
      </c>
      <c r="B302">
        <v>1</v>
      </c>
      <c r="C302" t="s">
        <v>138</v>
      </c>
      <c r="D302" t="s">
        <v>1304</v>
      </c>
      <c r="E302" t="s">
        <v>1305</v>
      </c>
      <c r="F302" t="s">
        <v>1306</v>
      </c>
      <c r="G302" t="e">
        <v>#N/A</v>
      </c>
      <c r="H302" t="e">
        <v>#N/A</v>
      </c>
      <c r="I302" t="e">
        <v>#N/A</v>
      </c>
      <c r="J302" s="1">
        <v>40</v>
      </c>
      <c r="K302" s="1" t="e">
        <v>#N/A</v>
      </c>
      <c r="L302" t="s">
        <v>1307</v>
      </c>
      <c r="M302" t="s">
        <v>1308</v>
      </c>
      <c r="N302">
        <f>2000+RIGHT(Table1[[#This Row],[Release Date]],2)</f>
        <v>2012</v>
      </c>
      <c r="O302">
        <f>_xlfn.MAXIFS(Table1[[#This Row],[Total Shipped]]:Table1[[#This Row],[Total Sales]],Table1[[#This Row],[Total Shipped]]:Table1[[#This Row],[Total Sales]],"&lt;&gt;#N/A")</f>
        <v>40</v>
      </c>
      <c r="P302">
        <f>_xlfn.MAXIFS(Table1[[#This Row],[VGChartz Score]:[User Score]],Table1[[#This Row],[VGChartz Score]:[User Score]],"&lt;&gt;#N/A")</f>
        <v>0</v>
      </c>
    </row>
    <row r="303" spans="1:16" hidden="1" x14ac:dyDescent="0.2">
      <c r="A303">
        <f t="shared" si="6"/>
        <v>302</v>
      </c>
      <c r="B303">
        <v>2</v>
      </c>
      <c r="C303" t="s">
        <v>138</v>
      </c>
      <c r="D303" t="s">
        <v>1309</v>
      </c>
      <c r="E303" t="s">
        <v>1305</v>
      </c>
      <c r="F303" t="s">
        <v>1310</v>
      </c>
      <c r="G303" t="e">
        <v>#N/A</v>
      </c>
      <c r="H303" t="e">
        <v>#N/A</v>
      </c>
      <c r="I303" t="e">
        <v>#N/A</v>
      </c>
      <c r="J303" s="2">
        <v>36.6</v>
      </c>
      <c r="K303" s="2" t="e">
        <v>#N/A</v>
      </c>
      <c r="L303" t="s">
        <v>1311</v>
      </c>
      <c r="M303" t="s">
        <v>1312</v>
      </c>
      <c r="N303">
        <f>2000+RIGHT(Table1[[#This Row],[Release Date]],2)</f>
        <v>2017</v>
      </c>
      <c r="O303">
        <f>_xlfn.MAXIFS(Table1[[#This Row],[Total Shipped]]:Table1[[#This Row],[Total Sales]],Table1[[#This Row],[Total Shipped]]:Table1[[#This Row],[Total Sales]],"&lt;&gt;#N/A")</f>
        <v>36.6</v>
      </c>
      <c r="P303">
        <f>_xlfn.MAXIFS(Table1[[#This Row],[VGChartz Score]:[User Score]],Table1[[#This Row],[VGChartz Score]:[User Score]],"&lt;&gt;#N/A")</f>
        <v>0</v>
      </c>
    </row>
    <row r="304" spans="1:16" hidden="1" x14ac:dyDescent="0.2">
      <c r="A304">
        <f t="shared" si="6"/>
        <v>303</v>
      </c>
      <c r="B304">
        <v>3</v>
      </c>
      <c r="C304" t="s">
        <v>138</v>
      </c>
      <c r="D304" t="s">
        <v>163</v>
      </c>
      <c r="E304" t="s">
        <v>1305</v>
      </c>
      <c r="F304" t="s">
        <v>164</v>
      </c>
      <c r="G304">
        <v>8.8000000000000007</v>
      </c>
      <c r="H304">
        <v>10</v>
      </c>
      <c r="I304" t="e">
        <v>#N/A</v>
      </c>
      <c r="J304" s="1">
        <v>33.15</v>
      </c>
      <c r="K304" s="1" t="e">
        <v>#N/A</v>
      </c>
      <c r="L304" t="s">
        <v>1313</v>
      </c>
      <c r="M304" t="s">
        <v>569</v>
      </c>
      <c r="N304">
        <f>2000+RIGHT(Table1[[#This Row],[Release Date]],2)</f>
        <v>2010</v>
      </c>
      <c r="O304">
        <f>_xlfn.MAXIFS(Table1[[#This Row],[Total Shipped]]:Table1[[#This Row],[Total Sales]],Table1[[#This Row],[Total Shipped]]:Table1[[#This Row],[Total Sales]],"&lt;&gt;#N/A")</f>
        <v>33.15</v>
      </c>
      <c r="P304">
        <f>_xlfn.MAXIFS(Table1[[#This Row],[VGChartz Score]:[User Score]],Table1[[#This Row],[VGChartz Score]:[User Score]],"&lt;&gt;#N/A")</f>
        <v>10</v>
      </c>
    </row>
    <row r="305" spans="1:16" hidden="1" x14ac:dyDescent="0.2">
      <c r="A305">
        <f t="shared" si="6"/>
        <v>304</v>
      </c>
      <c r="B305">
        <v>4</v>
      </c>
      <c r="C305" t="s">
        <v>138</v>
      </c>
      <c r="D305" t="s">
        <v>1314</v>
      </c>
      <c r="E305" t="s">
        <v>1305</v>
      </c>
      <c r="F305" t="s">
        <v>1315</v>
      </c>
      <c r="G305" t="e">
        <v>#N/A</v>
      </c>
      <c r="H305">
        <v>8.8000000000000007</v>
      </c>
      <c r="I305" t="e">
        <v>#N/A</v>
      </c>
      <c r="J305" s="2">
        <v>32</v>
      </c>
      <c r="K305" s="2" t="e">
        <v>#N/A</v>
      </c>
      <c r="L305" t="s">
        <v>1316</v>
      </c>
      <c r="M305" t="s">
        <v>1317</v>
      </c>
      <c r="N305">
        <f>2000+RIGHT(Table1[[#This Row],[Release Date]],2)</f>
        <v>2011</v>
      </c>
      <c r="O305">
        <f>_xlfn.MAXIFS(Table1[[#This Row],[Total Shipped]]:Table1[[#This Row],[Total Sales]],Table1[[#This Row],[Total Shipped]]:Table1[[#This Row],[Total Sales]],"&lt;&gt;#N/A")</f>
        <v>32</v>
      </c>
      <c r="P305">
        <f>_xlfn.MAXIFS(Table1[[#This Row],[VGChartz Score]:[User Score]],Table1[[#This Row],[VGChartz Score]:[User Score]],"&lt;&gt;#N/A")</f>
        <v>8.8000000000000007</v>
      </c>
    </row>
    <row r="306" spans="1:16" hidden="1" x14ac:dyDescent="0.2">
      <c r="A306">
        <f t="shared" si="6"/>
        <v>305</v>
      </c>
      <c r="B306">
        <v>5</v>
      </c>
      <c r="C306" t="s">
        <v>138</v>
      </c>
      <c r="D306" t="s">
        <v>64</v>
      </c>
      <c r="E306" t="s">
        <v>1305</v>
      </c>
      <c r="F306" t="s">
        <v>65</v>
      </c>
      <c r="G306" t="e">
        <v>#N/A</v>
      </c>
      <c r="H306">
        <v>9.1999999999999993</v>
      </c>
      <c r="I306" t="e">
        <v>#N/A</v>
      </c>
      <c r="J306" s="1">
        <v>26</v>
      </c>
      <c r="K306" s="1" t="e">
        <v>#N/A</v>
      </c>
      <c r="L306" t="s">
        <v>1318</v>
      </c>
      <c r="M306" t="s">
        <v>414</v>
      </c>
      <c r="N306">
        <f>2000+RIGHT(Table1[[#This Row],[Release Date]],2)</f>
        <v>2016</v>
      </c>
      <c r="O306">
        <f>_xlfn.MAXIFS(Table1[[#This Row],[Total Shipped]]:Table1[[#This Row],[Total Sales]],Table1[[#This Row],[Total Shipped]]:Table1[[#This Row],[Total Sales]],"&lt;&gt;#N/A")</f>
        <v>26</v>
      </c>
      <c r="P306">
        <f>_xlfn.MAXIFS(Table1[[#This Row],[VGChartz Score]:[User Score]],Table1[[#This Row],[VGChartz Score]:[User Score]],"&lt;&gt;#N/A")</f>
        <v>9.1999999999999993</v>
      </c>
    </row>
    <row r="307" spans="1:16" hidden="1" x14ac:dyDescent="0.2">
      <c r="A307">
        <f t="shared" si="6"/>
        <v>306</v>
      </c>
      <c r="B307">
        <v>6</v>
      </c>
      <c r="C307" t="s">
        <v>138</v>
      </c>
      <c r="D307" t="s">
        <v>1319</v>
      </c>
      <c r="E307" t="s">
        <v>1305</v>
      </c>
      <c r="F307" t="s">
        <v>1306</v>
      </c>
      <c r="G307" t="e">
        <v>#N/A</v>
      </c>
      <c r="H307" t="e">
        <v>#N/A</v>
      </c>
      <c r="I307" t="e">
        <v>#N/A</v>
      </c>
      <c r="J307" s="2">
        <v>16.899999999999999</v>
      </c>
      <c r="K307" s="2" t="e">
        <v>#N/A</v>
      </c>
      <c r="L307" t="s">
        <v>1320</v>
      </c>
      <c r="M307" t="s">
        <v>1321</v>
      </c>
      <c r="N307">
        <f>2000+RIGHT(Table1[[#This Row],[Release Date]],2)</f>
        <v>2006</v>
      </c>
      <c r="O307">
        <f>_xlfn.MAXIFS(Table1[[#This Row],[Total Shipped]]:Table1[[#This Row],[Total Sales]],Table1[[#This Row],[Total Shipped]]:Table1[[#This Row],[Total Sales]],"&lt;&gt;#N/A")</f>
        <v>16.899999999999999</v>
      </c>
      <c r="P307">
        <f>_xlfn.MAXIFS(Table1[[#This Row],[VGChartz Score]:[User Score]],Table1[[#This Row],[VGChartz Score]:[User Score]],"&lt;&gt;#N/A")</f>
        <v>0</v>
      </c>
    </row>
    <row r="308" spans="1:16" hidden="1" x14ac:dyDescent="0.2">
      <c r="A308">
        <f t="shared" si="6"/>
        <v>307</v>
      </c>
      <c r="B308">
        <v>7</v>
      </c>
      <c r="C308" t="s">
        <v>138</v>
      </c>
      <c r="D308" t="s">
        <v>320</v>
      </c>
      <c r="E308" t="s">
        <v>1305</v>
      </c>
      <c r="F308" t="s">
        <v>321</v>
      </c>
      <c r="G308" t="e">
        <v>#N/A</v>
      </c>
      <c r="H308" t="e">
        <v>#N/A</v>
      </c>
      <c r="I308" t="e">
        <v>#N/A</v>
      </c>
      <c r="J308" s="1">
        <v>15.9</v>
      </c>
      <c r="K308" s="1" t="e">
        <v>#N/A</v>
      </c>
      <c r="L308" t="s">
        <v>322</v>
      </c>
      <c r="M308" t="s">
        <v>85</v>
      </c>
      <c r="N308">
        <f>2000+RIGHT(Table1[[#This Row],[Release Date]],2)</f>
        <v>2015</v>
      </c>
      <c r="O308">
        <f>_xlfn.MAXIFS(Table1[[#This Row],[Total Shipped]]:Table1[[#This Row],[Total Sales]],Table1[[#This Row],[Total Shipped]]:Table1[[#This Row],[Total Sales]],"&lt;&gt;#N/A")</f>
        <v>15.9</v>
      </c>
      <c r="P308">
        <f>_xlfn.MAXIFS(Table1[[#This Row],[VGChartz Score]:[User Score]],Table1[[#This Row],[VGChartz Score]:[User Score]],"&lt;&gt;#N/A")</f>
        <v>0</v>
      </c>
    </row>
    <row r="309" spans="1:16" hidden="1" x14ac:dyDescent="0.2">
      <c r="A309">
        <f t="shared" si="6"/>
        <v>308</v>
      </c>
      <c r="B309">
        <v>8</v>
      </c>
      <c r="C309" t="s">
        <v>138</v>
      </c>
      <c r="D309" t="s">
        <v>1322</v>
      </c>
      <c r="E309" t="s">
        <v>1305</v>
      </c>
      <c r="F309" t="s">
        <v>806</v>
      </c>
      <c r="G309" t="e">
        <v>#N/A</v>
      </c>
      <c r="H309">
        <v>9.3000000000000007</v>
      </c>
      <c r="I309" t="e">
        <v>#N/A</v>
      </c>
      <c r="J309" s="2">
        <v>15</v>
      </c>
      <c r="K309" s="2" t="e">
        <v>#N/A</v>
      </c>
      <c r="L309" t="s">
        <v>1323</v>
      </c>
      <c r="M309" t="e">
        <v>#N/A</v>
      </c>
      <c r="N309">
        <f>2000+RIGHT(Table1[[#This Row],[Release Date]],2)</f>
        <v>2004</v>
      </c>
      <c r="O309">
        <f>_xlfn.MAXIFS(Table1[[#This Row],[Total Shipped]]:Table1[[#This Row],[Total Sales]],Table1[[#This Row],[Total Shipped]]:Table1[[#This Row],[Total Sales]],"&lt;&gt;#N/A")</f>
        <v>15</v>
      </c>
      <c r="P309">
        <f>_xlfn.MAXIFS(Table1[[#This Row],[VGChartz Score]:[User Score]],Table1[[#This Row],[VGChartz Score]:[User Score]],"&lt;&gt;#N/A")</f>
        <v>9.3000000000000007</v>
      </c>
    </row>
    <row r="310" spans="1:16" hidden="1" x14ac:dyDescent="0.2">
      <c r="A310">
        <f t="shared" si="6"/>
        <v>309</v>
      </c>
      <c r="B310">
        <v>9</v>
      </c>
      <c r="C310" t="s">
        <v>138</v>
      </c>
      <c r="D310" t="s">
        <v>1324</v>
      </c>
      <c r="E310" t="s">
        <v>1305</v>
      </c>
      <c r="F310" t="s">
        <v>1325</v>
      </c>
      <c r="G310" t="e">
        <v>#N/A</v>
      </c>
      <c r="H310" t="e">
        <v>#N/A</v>
      </c>
      <c r="I310" t="e">
        <v>#N/A</v>
      </c>
      <c r="J310" s="1">
        <v>15</v>
      </c>
      <c r="K310" s="1" t="e">
        <v>#N/A</v>
      </c>
      <c r="L310" t="s">
        <v>1326</v>
      </c>
      <c r="M310" t="s">
        <v>1326</v>
      </c>
      <c r="N310">
        <f>2000+RIGHT(Table1[[#This Row],[Release Date]],2)</f>
        <v>2024</v>
      </c>
      <c r="O310">
        <f>_xlfn.MAXIFS(Table1[[#This Row],[Total Shipped]]:Table1[[#This Row],[Total Sales]],Table1[[#This Row],[Total Shipped]]:Table1[[#This Row],[Total Sales]],"&lt;&gt;#N/A")</f>
        <v>15</v>
      </c>
      <c r="P310">
        <f>_xlfn.MAXIFS(Table1[[#This Row],[VGChartz Score]:[User Score]],Table1[[#This Row],[VGChartz Score]:[User Score]],"&lt;&gt;#N/A")</f>
        <v>0</v>
      </c>
    </row>
    <row r="311" spans="1:16" hidden="1" x14ac:dyDescent="0.2">
      <c r="A311">
        <f t="shared" si="6"/>
        <v>310</v>
      </c>
      <c r="B311">
        <v>10</v>
      </c>
      <c r="C311" t="s">
        <v>138</v>
      </c>
      <c r="D311" t="s">
        <v>1327</v>
      </c>
      <c r="E311" t="s">
        <v>1305</v>
      </c>
      <c r="F311" t="s">
        <v>1306</v>
      </c>
      <c r="G311" t="e">
        <v>#N/A</v>
      </c>
      <c r="H311">
        <v>9.6999999999999993</v>
      </c>
      <c r="I311" t="e">
        <v>#N/A</v>
      </c>
      <c r="J311" s="2">
        <v>13.06</v>
      </c>
      <c r="K311" s="2" t="e">
        <v>#N/A</v>
      </c>
      <c r="L311" t="s">
        <v>633</v>
      </c>
      <c r="M311" t="e">
        <v>#N/A</v>
      </c>
      <c r="N311">
        <f>2000+RIGHT(Table1[[#This Row],[Release Date]],2)</f>
        <v>2011</v>
      </c>
      <c r="O311">
        <f>_xlfn.MAXIFS(Table1[[#This Row],[Total Shipped]]:Table1[[#This Row],[Total Sales]],Table1[[#This Row],[Total Shipped]]:Table1[[#This Row],[Total Sales]],"&lt;&gt;#N/A")</f>
        <v>13.06</v>
      </c>
      <c r="P311">
        <f>_xlfn.MAXIFS(Table1[[#This Row],[VGChartz Score]:[User Score]],Table1[[#This Row],[VGChartz Score]:[User Score]],"&lt;&gt;#N/A")</f>
        <v>9.6999999999999993</v>
      </c>
    </row>
    <row r="312" spans="1:16" hidden="1" x14ac:dyDescent="0.2">
      <c r="A312">
        <f t="shared" si="6"/>
        <v>311</v>
      </c>
      <c r="B312">
        <v>11</v>
      </c>
      <c r="C312" t="s">
        <v>138</v>
      </c>
      <c r="D312" t="s">
        <v>296</v>
      </c>
      <c r="E312" t="s">
        <v>1305</v>
      </c>
      <c r="F312" t="s">
        <v>297</v>
      </c>
      <c r="G312" t="e">
        <v>#N/A</v>
      </c>
      <c r="H312" t="e">
        <v>#N/A</v>
      </c>
      <c r="I312" t="e">
        <v>#N/A</v>
      </c>
      <c r="J312" s="1">
        <v>12.6</v>
      </c>
      <c r="K312" s="1" t="e">
        <v>#N/A</v>
      </c>
      <c r="L312" t="s">
        <v>453</v>
      </c>
      <c r="M312" t="s">
        <v>145</v>
      </c>
      <c r="N312">
        <f>2000+RIGHT(Table1[[#This Row],[Release Date]],2)</f>
        <v>2015</v>
      </c>
      <c r="O312">
        <f>_xlfn.MAXIFS(Table1[[#This Row],[Total Shipped]]:Table1[[#This Row],[Total Sales]],Table1[[#This Row],[Total Shipped]]:Table1[[#This Row],[Total Sales]],"&lt;&gt;#N/A")</f>
        <v>12.6</v>
      </c>
      <c r="P312">
        <f>_xlfn.MAXIFS(Table1[[#This Row],[VGChartz Score]:[User Score]],Table1[[#This Row],[VGChartz Score]:[User Score]],"&lt;&gt;#N/A")</f>
        <v>0</v>
      </c>
    </row>
    <row r="313" spans="1:16" hidden="1" x14ac:dyDescent="0.2">
      <c r="A313">
        <f t="shared" si="6"/>
        <v>312</v>
      </c>
      <c r="B313">
        <v>12</v>
      </c>
      <c r="C313" t="s">
        <v>138</v>
      </c>
      <c r="D313" t="s">
        <v>1328</v>
      </c>
      <c r="E313" t="s">
        <v>1305</v>
      </c>
      <c r="F313" t="s">
        <v>392</v>
      </c>
      <c r="G313">
        <v>8.4</v>
      </c>
      <c r="H313">
        <v>9</v>
      </c>
      <c r="I313" t="e">
        <v>#N/A</v>
      </c>
      <c r="J313" s="2">
        <v>12</v>
      </c>
      <c r="K313" s="2" t="e">
        <v>#N/A</v>
      </c>
      <c r="L313" t="s">
        <v>1329</v>
      </c>
      <c r="M313" t="s">
        <v>299</v>
      </c>
      <c r="N313">
        <f>2000+RIGHT(Table1[[#This Row],[Release Date]],2)</f>
        <v>2012</v>
      </c>
      <c r="O313">
        <f>_xlfn.MAXIFS(Table1[[#This Row],[Total Shipped]]:Table1[[#This Row],[Total Sales]],Table1[[#This Row],[Total Shipped]]:Table1[[#This Row],[Total Sales]],"&lt;&gt;#N/A")</f>
        <v>12</v>
      </c>
      <c r="P313">
        <f>_xlfn.MAXIFS(Table1[[#This Row],[VGChartz Score]:[User Score]],Table1[[#This Row],[VGChartz Score]:[User Score]],"&lt;&gt;#N/A")</f>
        <v>9</v>
      </c>
    </row>
    <row r="314" spans="1:16" hidden="1" x14ac:dyDescent="0.2">
      <c r="A314">
        <f t="shared" si="6"/>
        <v>313</v>
      </c>
      <c r="B314">
        <v>13</v>
      </c>
      <c r="C314" t="s">
        <v>138</v>
      </c>
      <c r="D314" t="s">
        <v>1330</v>
      </c>
      <c r="E314" t="s">
        <v>1305</v>
      </c>
      <c r="F314" t="s">
        <v>806</v>
      </c>
      <c r="G314" t="e">
        <v>#N/A</v>
      </c>
      <c r="H314">
        <v>9.6999999999999993</v>
      </c>
      <c r="I314" t="e">
        <v>#N/A</v>
      </c>
      <c r="J314" s="1">
        <v>12</v>
      </c>
      <c r="K314" s="1" t="e">
        <v>#N/A</v>
      </c>
      <c r="L314" t="s">
        <v>1323</v>
      </c>
      <c r="M314" t="e">
        <v>#N/A</v>
      </c>
      <c r="N314">
        <f>2000+RIGHT(Table1[[#This Row],[Release Date]],2)</f>
        <v>2004</v>
      </c>
      <c r="O314">
        <f>_xlfn.MAXIFS(Table1[[#This Row],[Total Shipped]]:Table1[[#This Row],[Total Sales]],Table1[[#This Row],[Total Shipped]]:Table1[[#This Row],[Total Sales]],"&lt;&gt;#N/A")</f>
        <v>12</v>
      </c>
      <c r="P314">
        <f>_xlfn.MAXIFS(Table1[[#This Row],[VGChartz Score]:[User Score]],Table1[[#This Row],[VGChartz Score]:[User Score]],"&lt;&gt;#N/A")</f>
        <v>9.6999999999999993</v>
      </c>
    </row>
    <row r="315" spans="1:16" hidden="1" x14ac:dyDescent="0.2">
      <c r="A315">
        <f t="shared" si="6"/>
        <v>314</v>
      </c>
      <c r="B315">
        <v>14</v>
      </c>
      <c r="C315" t="s">
        <v>138</v>
      </c>
      <c r="D315" t="s">
        <v>1331</v>
      </c>
      <c r="E315" t="s">
        <v>1305</v>
      </c>
      <c r="F315" t="s">
        <v>392</v>
      </c>
      <c r="G315" t="e">
        <v>#N/A</v>
      </c>
      <c r="H315">
        <v>9.1999999999999993</v>
      </c>
      <c r="I315">
        <v>8</v>
      </c>
      <c r="J315" s="2">
        <v>12</v>
      </c>
      <c r="K315" s="2" t="e">
        <v>#N/A</v>
      </c>
      <c r="L315" t="s">
        <v>1332</v>
      </c>
      <c r="M315" t="s">
        <v>1333</v>
      </c>
      <c r="N315">
        <f>2000+RIGHT(Table1[[#This Row],[Release Date]],2)</f>
        <v>2004</v>
      </c>
      <c r="O315">
        <f>_xlfn.MAXIFS(Table1[[#This Row],[Total Shipped]]:Table1[[#This Row],[Total Sales]],Table1[[#This Row],[Total Shipped]]:Table1[[#This Row],[Total Sales]],"&lt;&gt;#N/A")</f>
        <v>12</v>
      </c>
      <c r="P315">
        <f>_xlfn.MAXIFS(Table1[[#This Row],[VGChartz Score]:[User Score]],Table1[[#This Row],[VGChartz Score]:[User Score]],"&lt;&gt;#N/A")</f>
        <v>9.1999999999999993</v>
      </c>
    </row>
    <row r="316" spans="1:16" hidden="1" x14ac:dyDescent="0.2">
      <c r="A316">
        <f t="shared" si="6"/>
        <v>315</v>
      </c>
      <c r="B316">
        <v>15</v>
      </c>
      <c r="C316" t="s">
        <v>138</v>
      </c>
      <c r="D316" t="s">
        <v>1334</v>
      </c>
      <c r="E316" t="s">
        <v>1305</v>
      </c>
      <c r="F316" t="s">
        <v>257</v>
      </c>
      <c r="G316" t="e">
        <v>#N/A</v>
      </c>
      <c r="H316" t="e">
        <v>#N/A</v>
      </c>
      <c r="I316" t="e">
        <v>#N/A</v>
      </c>
      <c r="J316" s="1">
        <v>11</v>
      </c>
      <c r="K316" s="1" t="e">
        <v>#N/A</v>
      </c>
      <c r="L316" t="s">
        <v>1154</v>
      </c>
      <c r="M316" t="s">
        <v>1335</v>
      </c>
      <c r="N316">
        <f>2000+RIGHT(Table1[[#This Row],[Release Date]],2)</f>
        <v>2020</v>
      </c>
      <c r="O316">
        <f>_xlfn.MAXIFS(Table1[[#This Row],[Total Shipped]]:Table1[[#This Row],[Total Sales]],Table1[[#This Row],[Total Shipped]]:Table1[[#This Row],[Total Sales]],"&lt;&gt;#N/A")</f>
        <v>11</v>
      </c>
      <c r="P316">
        <f>_xlfn.MAXIFS(Table1[[#This Row],[VGChartz Score]:[User Score]],Table1[[#This Row],[VGChartz Score]:[User Score]],"&lt;&gt;#N/A")</f>
        <v>0</v>
      </c>
    </row>
    <row r="317" spans="1:16" hidden="1" x14ac:dyDescent="0.2">
      <c r="A317">
        <f t="shared" si="6"/>
        <v>316</v>
      </c>
      <c r="B317">
        <v>16</v>
      </c>
      <c r="C317" t="s">
        <v>138</v>
      </c>
      <c r="D317" t="s">
        <v>1336</v>
      </c>
      <c r="E317" t="s">
        <v>1305</v>
      </c>
      <c r="F317" t="s">
        <v>392</v>
      </c>
      <c r="G317" t="e">
        <v>#N/A</v>
      </c>
      <c r="H317">
        <v>8.6999999999999993</v>
      </c>
      <c r="I317" t="e">
        <v>#N/A</v>
      </c>
      <c r="J317" s="2">
        <v>11</v>
      </c>
      <c r="K317" s="2" t="e">
        <v>#N/A</v>
      </c>
      <c r="L317" t="s">
        <v>1337</v>
      </c>
      <c r="M317" t="s">
        <v>1338</v>
      </c>
      <c r="N317">
        <f>2000+RIGHT(Table1[[#This Row],[Release Date]],2)</f>
        <v>2098</v>
      </c>
      <c r="O317">
        <f>_xlfn.MAXIFS(Table1[[#This Row],[Total Shipped]]:Table1[[#This Row],[Total Sales]],Table1[[#This Row],[Total Shipped]]:Table1[[#This Row],[Total Sales]],"&lt;&gt;#N/A")</f>
        <v>11</v>
      </c>
      <c r="P317">
        <f>_xlfn.MAXIFS(Table1[[#This Row],[VGChartz Score]:[User Score]],Table1[[#This Row],[VGChartz Score]:[User Score]],"&lt;&gt;#N/A")</f>
        <v>8.6999999999999993</v>
      </c>
    </row>
    <row r="318" spans="1:16" hidden="1" x14ac:dyDescent="0.2">
      <c r="A318">
        <f t="shared" si="6"/>
        <v>317</v>
      </c>
      <c r="B318">
        <v>17</v>
      </c>
      <c r="C318" t="s">
        <v>138</v>
      </c>
      <c r="D318" t="s">
        <v>1339</v>
      </c>
      <c r="E318" t="s">
        <v>1305</v>
      </c>
      <c r="F318" t="s">
        <v>844</v>
      </c>
      <c r="G318" t="e">
        <v>#N/A</v>
      </c>
      <c r="H318">
        <v>8.3000000000000007</v>
      </c>
      <c r="I318" t="e">
        <v>#N/A</v>
      </c>
      <c r="J318" s="1">
        <v>10</v>
      </c>
      <c r="K318" s="1" t="e">
        <v>#N/A</v>
      </c>
      <c r="L318" t="s">
        <v>1340</v>
      </c>
      <c r="M318" t="e">
        <v>#N/A</v>
      </c>
      <c r="N318">
        <f>2000+RIGHT(Table1[[#This Row],[Release Date]],2)</f>
        <v>2004</v>
      </c>
      <c r="O318">
        <f>_xlfn.MAXIFS(Table1[[#This Row],[Total Shipped]]:Table1[[#This Row],[Total Sales]],Table1[[#This Row],[Total Shipped]]:Table1[[#This Row],[Total Sales]],"&lt;&gt;#N/A")</f>
        <v>10</v>
      </c>
      <c r="P318">
        <f>_xlfn.MAXIFS(Table1[[#This Row],[VGChartz Score]:[User Score]],Table1[[#This Row],[VGChartz Score]:[User Score]],"&lt;&gt;#N/A")</f>
        <v>8.3000000000000007</v>
      </c>
    </row>
    <row r="319" spans="1:16" hidden="1" x14ac:dyDescent="0.2">
      <c r="A319">
        <f t="shared" si="6"/>
        <v>318</v>
      </c>
      <c r="B319">
        <v>18</v>
      </c>
      <c r="C319" t="s">
        <v>138</v>
      </c>
      <c r="D319" t="s">
        <v>1341</v>
      </c>
      <c r="E319" t="s">
        <v>1305</v>
      </c>
      <c r="F319" t="s">
        <v>1342</v>
      </c>
      <c r="G319" t="e">
        <v>#N/A</v>
      </c>
      <c r="H319" t="e">
        <v>#N/A</v>
      </c>
      <c r="I319" t="e">
        <v>#N/A</v>
      </c>
      <c r="J319" s="2">
        <v>10</v>
      </c>
      <c r="K319" s="2" t="e">
        <v>#N/A</v>
      </c>
      <c r="L319" t="s">
        <v>1343</v>
      </c>
      <c r="M319" t="s">
        <v>1344</v>
      </c>
      <c r="N319">
        <f>2000+RIGHT(Table1[[#This Row],[Release Date]],2)</f>
        <v>2021</v>
      </c>
      <c r="O319">
        <f>_xlfn.MAXIFS(Table1[[#This Row],[Total Shipped]]:Table1[[#This Row],[Total Sales]],Table1[[#This Row],[Total Shipped]]:Table1[[#This Row],[Total Sales]],"&lt;&gt;#N/A")</f>
        <v>10</v>
      </c>
      <c r="P319">
        <f>_xlfn.MAXIFS(Table1[[#This Row],[VGChartz Score]:[User Score]],Table1[[#This Row],[VGChartz Score]:[User Score]],"&lt;&gt;#N/A")</f>
        <v>0</v>
      </c>
    </row>
    <row r="320" spans="1:16" hidden="1" x14ac:dyDescent="0.2">
      <c r="A320">
        <f t="shared" si="6"/>
        <v>319</v>
      </c>
      <c r="B320">
        <v>19</v>
      </c>
      <c r="C320" t="s">
        <v>138</v>
      </c>
      <c r="D320" t="s">
        <v>1345</v>
      </c>
      <c r="E320" t="s">
        <v>1305</v>
      </c>
      <c r="F320" t="s">
        <v>1346</v>
      </c>
      <c r="G320" t="e">
        <v>#N/A</v>
      </c>
      <c r="H320">
        <v>9</v>
      </c>
      <c r="I320" t="e">
        <v>#N/A</v>
      </c>
      <c r="J320" s="1">
        <v>9.9700000000000006</v>
      </c>
      <c r="K320" s="1" t="e">
        <v>#N/A</v>
      </c>
      <c r="L320" t="s">
        <v>1347</v>
      </c>
      <c r="M320" t="e">
        <v>#N/A</v>
      </c>
      <c r="N320">
        <f>2000+RIGHT(Table1[[#This Row],[Release Date]],2)</f>
        <v>2008</v>
      </c>
      <c r="O320">
        <f>_xlfn.MAXIFS(Table1[[#This Row],[Total Shipped]]:Table1[[#This Row],[Total Sales]],Table1[[#This Row],[Total Shipped]]:Table1[[#This Row],[Total Sales]],"&lt;&gt;#N/A")</f>
        <v>9.9700000000000006</v>
      </c>
      <c r="P320">
        <f>_xlfn.MAXIFS(Table1[[#This Row],[VGChartz Score]:[User Score]],Table1[[#This Row],[VGChartz Score]:[User Score]],"&lt;&gt;#N/A")</f>
        <v>9</v>
      </c>
    </row>
    <row r="321" spans="1:16" hidden="1" x14ac:dyDescent="0.2">
      <c r="A321">
        <f t="shared" si="6"/>
        <v>320</v>
      </c>
      <c r="B321">
        <v>20</v>
      </c>
      <c r="C321" t="s">
        <v>138</v>
      </c>
      <c r="D321" t="s">
        <v>1348</v>
      </c>
      <c r="E321" t="s">
        <v>1305</v>
      </c>
      <c r="F321" t="s">
        <v>1349</v>
      </c>
      <c r="G321" t="e">
        <v>#N/A</v>
      </c>
      <c r="H321">
        <v>9.5</v>
      </c>
      <c r="I321" t="e">
        <v>#N/A</v>
      </c>
      <c r="J321" s="2">
        <v>9.3000000000000007</v>
      </c>
      <c r="K321" s="2" t="e">
        <v>#N/A</v>
      </c>
      <c r="L321" t="s">
        <v>1350</v>
      </c>
      <c r="M321" t="e">
        <v>#N/A</v>
      </c>
      <c r="N321">
        <f>2000+RIGHT(Table1[[#This Row],[Release Date]],2)</f>
        <v>2098</v>
      </c>
      <c r="O321">
        <f>_xlfn.MAXIFS(Table1[[#This Row],[Total Shipped]]:Table1[[#This Row],[Total Sales]],Table1[[#This Row],[Total Shipped]]:Table1[[#This Row],[Total Sales]],"&lt;&gt;#N/A")</f>
        <v>9.3000000000000007</v>
      </c>
      <c r="P321">
        <f>_xlfn.MAXIFS(Table1[[#This Row],[VGChartz Score]:[User Score]],Table1[[#This Row],[VGChartz Score]:[User Score]],"&lt;&gt;#N/A")</f>
        <v>9.5</v>
      </c>
    </row>
    <row r="322" spans="1:16" hidden="1" x14ac:dyDescent="0.2">
      <c r="A322">
        <f t="shared" si="6"/>
        <v>321</v>
      </c>
      <c r="B322">
        <v>21</v>
      </c>
      <c r="C322" t="s">
        <v>138</v>
      </c>
      <c r="D322" t="s">
        <v>1351</v>
      </c>
      <c r="E322" t="s">
        <v>1305</v>
      </c>
      <c r="F322" t="s">
        <v>1352</v>
      </c>
      <c r="G322" t="e">
        <v>#N/A</v>
      </c>
      <c r="H322">
        <v>6.1</v>
      </c>
      <c r="I322" t="e">
        <v>#N/A</v>
      </c>
      <c r="J322" s="1">
        <v>9.02</v>
      </c>
      <c r="K322" s="1" t="e">
        <v>#N/A</v>
      </c>
      <c r="L322" t="s">
        <v>1353</v>
      </c>
      <c r="M322" t="s">
        <v>1317</v>
      </c>
      <c r="N322">
        <f>2000+RIGHT(Table1[[#This Row],[Release Date]],2)</f>
        <v>2018</v>
      </c>
      <c r="O322">
        <f>_xlfn.MAXIFS(Table1[[#This Row],[Total Shipped]]:Table1[[#This Row],[Total Sales]],Table1[[#This Row],[Total Shipped]]:Table1[[#This Row],[Total Sales]],"&lt;&gt;#N/A")</f>
        <v>9.02</v>
      </c>
      <c r="P322">
        <f>_xlfn.MAXIFS(Table1[[#This Row],[VGChartz Score]:[User Score]],Table1[[#This Row],[VGChartz Score]:[User Score]],"&lt;&gt;#N/A")</f>
        <v>6.1</v>
      </c>
    </row>
    <row r="323" spans="1:16" hidden="1" x14ac:dyDescent="0.2">
      <c r="A323">
        <f t="shared" si="6"/>
        <v>322</v>
      </c>
      <c r="B323">
        <v>22</v>
      </c>
      <c r="C323" t="s">
        <v>138</v>
      </c>
      <c r="D323" t="s">
        <v>1354</v>
      </c>
      <c r="E323" t="s">
        <v>1305</v>
      </c>
      <c r="F323" t="s">
        <v>1355</v>
      </c>
      <c r="G323" t="e">
        <v>#N/A</v>
      </c>
      <c r="H323" t="e">
        <v>#N/A</v>
      </c>
      <c r="I323" t="e">
        <v>#N/A</v>
      </c>
      <c r="J323" s="2">
        <v>9</v>
      </c>
      <c r="K323" s="2" t="e">
        <v>#N/A</v>
      </c>
      <c r="L323" t="s">
        <v>1356</v>
      </c>
      <c r="M323" t="s">
        <v>1357</v>
      </c>
      <c r="N323">
        <f>2000+RIGHT(Table1[[#This Row],[Release Date]],2)</f>
        <v>2023</v>
      </c>
      <c r="O323">
        <f>_xlfn.MAXIFS(Table1[[#This Row],[Total Shipped]]:Table1[[#This Row],[Total Sales]],Table1[[#This Row],[Total Shipped]]:Table1[[#This Row],[Total Sales]],"&lt;&gt;#N/A")</f>
        <v>9</v>
      </c>
      <c r="P323">
        <f>_xlfn.MAXIFS(Table1[[#This Row],[VGChartz Score]:[User Score]],Table1[[#This Row],[VGChartz Score]:[User Score]],"&lt;&gt;#N/A")</f>
        <v>0</v>
      </c>
    </row>
    <row r="324" spans="1:16" hidden="1" x14ac:dyDescent="0.2">
      <c r="A324">
        <f t="shared" si="6"/>
        <v>323</v>
      </c>
      <c r="B324">
        <v>23</v>
      </c>
      <c r="C324" t="s">
        <v>138</v>
      </c>
      <c r="D324" t="s">
        <v>1358</v>
      </c>
      <c r="E324" t="s">
        <v>1305</v>
      </c>
      <c r="F324" t="s">
        <v>484</v>
      </c>
      <c r="G324">
        <v>8.5</v>
      </c>
      <c r="H324">
        <v>8.9</v>
      </c>
      <c r="I324" t="e">
        <v>#N/A</v>
      </c>
      <c r="J324" s="1">
        <v>8</v>
      </c>
      <c r="K324" s="1" t="e">
        <v>#N/A</v>
      </c>
      <c r="L324" t="s">
        <v>1359</v>
      </c>
      <c r="M324" t="e">
        <v>#N/A</v>
      </c>
      <c r="N324">
        <f>2000+RIGHT(Table1[[#This Row],[Release Date]],2)</f>
        <v>2010</v>
      </c>
      <c r="O324">
        <f>_xlfn.MAXIFS(Table1[[#This Row],[Total Shipped]]:Table1[[#This Row],[Total Sales]],Table1[[#This Row],[Total Shipped]]:Table1[[#This Row],[Total Sales]],"&lt;&gt;#N/A")</f>
        <v>8</v>
      </c>
      <c r="P324">
        <f>_xlfn.MAXIFS(Table1[[#This Row],[VGChartz Score]:[User Score]],Table1[[#This Row],[VGChartz Score]:[User Score]],"&lt;&gt;#N/A")</f>
        <v>8.9</v>
      </c>
    </row>
    <row r="325" spans="1:16" hidden="1" x14ac:dyDescent="0.2">
      <c r="A325">
        <f t="shared" si="6"/>
        <v>324</v>
      </c>
      <c r="B325">
        <v>24</v>
      </c>
      <c r="C325" t="s">
        <v>138</v>
      </c>
      <c r="D325" t="s">
        <v>715</v>
      </c>
      <c r="E325" t="s">
        <v>1305</v>
      </c>
      <c r="F325" t="s">
        <v>324</v>
      </c>
      <c r="G325">
        <v>8.8000000000000007</v>
      </c>
      <c r="H325">
        <v>8.5</v>
      </c>
      <c r="I325" t="e">
        <v>#N/A</v>
      </c>
      <c r="J325" s="2" t="e">
        <v>#N/A</v>
      </c>
      <c r="K325" s="2">
        <v>7.96</v>
      </c>
      <c r="L325" t="s">
        <v>1360</v>
      </c>
      <c r="M325" t="e">
        <v>#N/A</v>
      </c>
      <c r="N325">
        <f>2000+RIGHT(Table1[[#This Row],[Release Date]],2)</f>
        <v>2009</v>
      </c>
      <c r="O325">
        <f>_xlfn.MAXIFS(Table1[[#This Row],[Total Shipped]]:Table1[[#This Row],[Total Sales]],Table1[[#This Row],[Total Shipped]]:Table1[[#This Row],[Total Sales]],"&lt;&gt;#N/A")</f>
        <v>7.96</v>
      </c>
      <c r="P325">
        <f>_xlfn.MAXIFS(Table1[[#This Row],[VGChartz Score]:[User Score]],Table1[[#This Row],[VGChartz Score]:[User Score]],"&lt;&gt;#N/A")</f>
        <v>8.8000000000000007</v>
      </c>
    </row>
    <row r="326" spans="1:16" hidden="1" x14ac:dyDescent="0.2">
      <c r="A326">
        <f t="shared" si="6"/>
        <v>325</v>
      </c>
      <c r="B326">
        <v>25</v>
      </c>
      <c r="C326" t="s">
        <v>138</v>
      </c>
      <c r="D326" t="s">
        <v>443</v>
      </c>
      <c r="E326" t="s">
        <v>1305</v>
      </c>
      <c r="F326" t="s">
        <v>197</v>
      </c>
      <c r="G326" t="e">
        <v>#N/A</v>
      </c>
      <c r="H326" t="e">
        <v>#N/A</v>
      </c>
      <c r="I326" t="e">
        <v>#N/A</v>
      </c>
      <c r="J326" s="1">
        <v>7.67</v>
      </c>
      <c r="K326" s="1" t="e">
        <v>#N/A</v>
      </c>
      <c r="L326" t="s">
        <v>104</v>
      </c>
      <c r="M326" t="s">
        <v>444</v>
      </c>
      <c r="N326">
        <f>2000+RIGHT(Table1[[#This Row],[Release Date]],2)</f>
        <v>2020</v>
      </c>
      <c r="O326">
        <f>_xlfn.MAXIFS(Table1[[#This Row],[Total Shipped]]:Table1[[#This Row],[Total Sales]],Table1[[#This Row],[Total Shipped]]:Table1[[#This Row],[Total Sales]],"&lt;&gt;#N/A")</f>
        <v>7.67</v>
      </c>
      <c r="P326">
        <f>_xlfn.MAXIFS(Table1[[#This Row],[VGChartz Score]:[User Score]],Table1[[#This Row],[VGChartz Score]:[User Score]],"&lt;&gt;#N/A")</f>
        <v>0</v>
      </c>
    </row>
    <row r="327" spans="1:16" hidden="1" x14ac:dyDescent="0.2">
      <c r="A327">
        <f t="shared" si="6"/>
        <v>326</v>
      </c>
      <c r="B327">
        <v>26</v>
      </c>
      <c r="C327" t="s">
        <v>138</v>
      </c>
      <c r="D327" t="s">
        <v>1361</v>
      </c>
      <c r="E327" t="s">
        <v>1305</v>
      </c>
      <c r="F327" t="s">
        <v>1362</v>
      </c>
      <c r="G327" t="e">
        <v>#N/A</v>
      </c>
      <c r="H327">
        <v>8.3000000000000007</v>
      </c>
      <c r="I327" t="e">
        <v>#N/A</v>
      </c>
      <c r="J327" s="2">
        <v>7.17</v>
      </c>
      <c r="K327" s="2" t="e">
        <v>#N/A</v>
      </c>
      <c r="L327" t="s">
        <v>1363</v>
      </c>
      <c r="M327" t="s">
        <v>1015</v>
      </c>
      <c r="N327">
        <f>2000+RIGHT(Table1[[#This Row],[Release Date]],2)</f>
        <v>2011</v>
      </c>
      <c r="O327">
        <f>_xlfn.MAXIFS(Table1[[#This Row],[Total Shipped]]:Table1[[#This Row],[Total Sales]],Table1[[#This Row],[Total Shipped]]:Table1[[#This Row],[Total Sales]],"&lt;&gt;#N/A")</f>
        <v>7.17</v>
      </c>
      <c r="P327">
        <f>_xlfn.MAXIFS(Table1[[#This Row],[VGChartz Score]:[User Score]],Table1[[#This Row],[VGChartz Score]:[User Score]],"&lt;&gt;#N/A")</f>
        <v>8.3000000000000007</v>
      </c>
    </row>
    <row r="328" spans="1:16" hidden="1" x14ac:dyDescent="0.2">
      <c r="A328">
        <f t="shared" si="6"/>
        <v>327</v>
      </c>
      <c r="B328">
        <v>27</v>
      </c>
      <c r="C328" t="s">
        <v>138</v>
      </c>
      <c r="D328" t="s">
        <v>1364</v>
      </c>
      <c r="E328" t="s">
        <v>1305</v>
      </c>
      <c r="F328" t="s">
        <v>1365</v>
      </c>
      <c r="G328">
        <v>9.5</v>
      </c>
      <c r="H328" t="e">
        <v>#N/A</v>
      </c>
      <c r="I328" t="e">
        <v>#N/A</v>
      </c>
      <c r="J328" s="1">
        <v>7</v>
      </c>
      <c r="K328" s="1" t="e">
        <v>#N/A</v>
      </c>
      <c r="L328" t="s">
        <v>646</v>
      </c>
      <c r="M328" t="e">
        <v>#N/A</v>
      </c>
      <c r="N328">
        <f>2000+RIGHT(Table1[[#This Row],[Release Date]],2)</f>
        <v>2012</v>
      </c>
      <c r="O328">
        <f>_xlfn.MAXIFS(Table1[[#This Row],[Total Shipped]]:Table1[[#This Row],[Total Sales]],Table1[[#This Row],[Total Shipped]]:Table1[[#This Row],[Total Sales]],"&lt;&gt;#N/A")</f>
        <v>7</v>
      </c>
      <c r="P328">
        <f>_xlfn.MAXIFS(Table1[[#This Row],[VGChartz Score]:[User Score]],Table1[[#This Row],[VGChartz Score]:[User Score]],"&lt;&gt;#N/A")</f>
        <v>9.5</v>
      </c>
    </row>
    <row r="329" spans="1:16" hidden="1" x14ac:dyDescent="0.2">
      <c r="A329">
        <f t="shared" si="6"/>
        <v>328</v>
      </c>
      <c r="B329">
        <v>28</v>
      </c>
      <c r="C329" t="s">
        <v>138</v>
      </c>
      <c r="D329" t="s">
        <v>338</v>
      </c>
      <c r="E329" t="s">
        <v>1305</v>
      </c>
      <c r="F329" t="s">
        <v>222</v>
      </c>
      <c r="G329" t="e">
        <v>#N/A</v>
      </c>
      <c r="H329">
        <v>9</v>
      </c>
      <c r="I329" t="e">
        <v>#N/A</v>
      </c>
      <c r="J329" s="2">
        <v>6.6</v>
      </c>
      <c r="K329" s="2" t="e">
        <v>#N/A</v>
      </c>
      <c r="L329" t="s">
        <v>339</v>
      </c>
      <c r="M329" t="s">
        <v>340</v>
      </c>
      <c r="N329">
        <f>2000+RIGHT(Table1[[#This Row],[Release Date]],2)</f>
        <v>2015</v>
      </c>
      <c r="O329">
        <f>_xlfn.MAXIFS(Table1[[#This Row],[Total Shipped]]:Table1[[#This Row],[Total Sales]],Table1[[#This Row],[Total Shipped]]:Table1[[#This Row],[Total Sales]],"&lt;&gt;#N/A")</f>
        <v>6.6</v>
      </c>
      <c r="P329">
        <f>_xlfn.MAXIFS(Table1[[#This Row],[VGChartz Score]:[User Score]],Table1[[#This Row],[VGChartz Score]:[User Score]],"&lt;&gt;#N/A")</f>
        <v>9</v>
      </c>
    </row>
    <row r="330" spans="1:16" hidden="1" x14ac:dyDescent="0.2">
      <c r="A330">
        <f t="shared" si="6"/>
        <v>329</v>
      </c>
      <c r="B330">
        <v>29</v>
      </c>
      <c r="C330" t="s">
        <v>138</v>
      </c>
      <c r="D330" t="s">
        <v>1366</v>
      </c>
      <c r="E330" t="s">
        <v>1305</v>
      </c>
      <c r="F330" t="s">
        <v>1365</v>
      </c>
      <c r="G330" t="e">
        <v>#N/A</v>
      </c>
      <c r="H330">
        <v>8.6999999999999993</v>
      </c>
      <c r="I330" t="e">
        <v>#N/A</v>
      </c>
      <c r="J330" s="1">
        <v>6.5</v>
      </c>
      <c r="K330" s="1" t="e">
        <v>#N/A</v>
      </c>
      <c r="L330" t="s">
        <v>1367</v>
      </c>
      <c r="M330" t="e">
        <v>#N/A</v>
      </c>
      <c r="N330">
        <f>2000+RIGHT(Table1[[#This Row],[Release Date]],2)</f>
        <v>2005</v>
      </c>
      <c r="O330">
        <f>_xlfn.MAXIFS(Table1[[#This Row],[Total Shipped]]:Table1[[#This Row],[Total Sales]],Table1[[#This Row],[Total Shipped]]:Table1[[#This Row],[Total Sales]],"&lt;&gt;#N/A")</f>
        <v>6.5</v>
      </c>
      <c r="P330">
        <f>_xlfn.MAXIFS(Table1[[#This Row],[VGChartz Score]:[User Score]],Table1[[#This Row],[VGChartz Score]:[User Score]],"&lt;&gt;#N/A")</f>
        <v>8.6999999999999993</v>
      </c>
    </row>
    <row r="331" spans="1:16" hidden="1" x14ac:dyDescent="0.2">
      <c r="A331">
        <f t="shared" si="6"/>
        <v>330</v>
      </c>
      <c r="B331">
        <v>30</v>
      </c>
      <c r="C331" t="s">
        <v>138</v>
      </c>
      <c r="D331" t="s">
        <v>1368</v>
      </c>
      <c r="E331" t="s">
        <v>1305</v>
      </c>
      <c r="F331" t="s">
        <v>1369</v>
      </c>
      <c r="G331" t="e">
        <v>#N/A</v>
      </c>
      <c r="H331">
        <v>8.9</v>
      </c>
      <c r="I331" t="e">
        <v>#N/A</v>
      </c>
      <c r="J331" s="2">
        <v>6.3</v>
      </c>
      <c r="K331" s="2" t="e">
        <v>#N/A</v>
      </c>
      <c r="L331" t="s">
        <v>1370</v>
      </c>
      <c r="M331" t="e">
        <v>#N/A</v>
      </c>
      <c r="N331">
        <f>2000+RIGHT(Table1[[#This Row],[Release Date]],2)</f>
        <v>2095</v>
      </c>
      <c r="O331">
        <f>_xlfn.MAXIFS(Table1[[#This Row],[Total Shipped]]:Table1[[#This Row],[Total Sales]],Table1[[#This Row],[Total Shipped]]:Table1[[#This Row],[Total Sales]],"&lt;&gt;#N/A")</f>
        <v>6.3</v>
      </c>
      <c r="P331">
        <f>_xlfn.MAXIFS(Table1[[#This Row],[VGChartz Score]:[User Score]],Table1[[#This Row],[VGChartz Score]:[User Score]],"&lt;&gt;#N/A")</f>
        <v>8.9</v>
      </c>
    </row>
    <row r="332" spans="1:16" hidden="1" x14ac:dyDescent="0.2">
      <c r="A332">
        <f t="shared" si="6"/>
        <v>331</v>
      </c>
      <c r="B332">
        <v>31</v>
      </c>
      <c r="C332" t="s">
        <v>138</v>
      </c>
      <c r="D332" t="s">
        <v>1371</v>
      </c>
      <c r="E332" t="s">
        <v>1305</v>
      </c>
      <c r="F332" t="s">
        <v>392</v>
      </c>
      <c r="G332">
        <v>8.9</v>
      </c>
      <c r="H332">
        <v>9.3000000000000007</v>
      </c>
      <c r="I332" t="e">
        <v>#N/A</v>
      </c>
      <c r="J332" s="1">
        <v>6</v>
      </c>
      <c r="K332" s="1" t="e">
        <v>#N/A</v>
      </c>
      <c r="L332" t="s">
        <v>1372</v>
      </c>
      <c r="M332" t="s">
        <v>1373</v>
      </c>
      <c r="N332">
        <f>2000+RIGHT(Table1[[#This Row],[Release Date]],2)</f>
        <v>2010</v>
      </c>
      <c r="O332">
        <f>_xlfn.MAXIFS(Table1[[#This Row],[Total Shipped]]:Table1[[#This Row],[Total Sales]],Table1[[#This Row],[Total Shipped]]:Table1[[#This Row],[Total Sales]],"&lt;&gt;#N/A")</f>
        <v>6</v>
      </c>
      <c r="P332">
        <f>_xlfn.MAXIFS(Table1[[#This Row],[VGChartz Score]:[User Score]],Table1[[#This Row],[VGChartz Score]:[User Score]],"&lt;&gt;#N/A")</f>
        <v>9.3000000000000007</v>
      </c>
    </row>
    <row r="333" spans="1:16" hidden="1" x14ac:dyDescent="0.2">
      <c r="A333">
        <f t="shared" si="6"/>
        <v>332</v>
      </c>
      <c r="B333">
        <v>32</v>
      </c>
      <c r="C333" t="s">
        <v>138</v>
      </c>
      <c r="D333" t="s">
        <v>1374</v>
      </c>
      <c r="E333" t="s">
        <v>1305</v>
      </c>
      <c r="F333" t="s">
        <v>1375</v>
      </c>
      <c r="G333" t="e">
        <v>#N/A</v>
      </c>
      <c r="H333">
        <v>8.5</v>
      </c>
      <c r="I333" t="e">
        <v>#N/A</v>
      </c>
      <c r="J333" s="2">
        <v>5.98</v>
      </c>
      <c r="K333" s="2" t="e">
        <v>#N/A</v>
      </c>
      <c r="L333" t="s">
        <v>1376</v>
      </c>
      <c r="M333" t="s">
        <v>252</v>
      </c>
      <c r="N333">
        <f>2000+RIGHT(Table1[[#This Row],[Release Date]],2)</f>
        <v>2013</v>
      </c>
      <c r="O333">
        <f>_xlfn.MAXIFS(Table1[[#This Row],[Total Shipped]]:Table1[[#This Row],[Total Sales]],Table1[[#This Row],[Total Shipped]]:Table1[[#This Row],[Total Sales]],"&lt;&gt;#N/A")</f>
        <v>5.98</v>
      </c>
      <c r="P333">
        <f>_xlfn.MAXIFS(Table1[[#This Row],[VGChartz Score]:[User Score]],Table1[[#This Row],[VGChartz Score]:[User Score]],"&lt;&gt;#N/A")</f>
        <v>8.5</v>
      </c>
    </row>
    <row r="334" spans="1:16" hidden="1" x14ac:dyDescent="0.2">
      <c r="A334">
        <f t="shared" si="6"/>
        <v>333</v>
      </c>
      <c r="B334">
        <v>33</v>
      </c>
      <c r="C334" t="s">
        <v>138</v>
      </c>
      <c r="D334" t="s">
        <v>1377</v>
      </c>
      <c r="E334" t="s">
        <v>1305</v>
      </c>
      <c r="F334" t="s">
        <v>1378</v>
      </c>
      <c r="G334">
        <v>6</v>
      </c>
      <c r="H334" t="e">
        <v>#N/A</v>
      </c>
      <c r="I334" t="e">
        <v>#N/A</v>
      </c>
      <c r="J334" s="1">
        <v>5.82</v>
      </c>
      <c r="K334" s="1" t="e">
        <v>#N/A</v>
      </c>
      <c r="L334" t="s">
        <v>1379</v>
      </c>
      <c r="M334" t="s">
        <v>162</v>
      </c>
      <c r="N334">
        <f>2000+RIGHT(Table1[[#This Row],[Release Date]],2)</f>
        <v>2013</v>
      </c>
      <c r="O334">
        <f>_xlfn.MAXIFS(Table1[[#This Row],[Total Shipped]]:Table1[[#This Row],[Total Sales]],Table1[[#This Row],[Total Shipped]]:Table1[[#This Row],[Total Sales]],"&lt;&gt;#N/A")</f>
        <v>5.82</v>
      </c>
      <c r="P334">
        <f>_xlfn.MAXIFS(Table1[[#This Row],[VGChartz Score]:[User Score]],Table1[[#This Row],[VGChartz Score]:[User Score]],"&lt;&gt;#N/A")</f>
        <v>6</v>
      </c>
    </row>
    <row r="335" spans="1:16" hidden="1" x14ac:dyDescent="0.2">
      <c r="A335">
        <f t="shared" si="6"/>
        <v>334</v>
      </c>
      <c r="B335">
        <v>34</v>
      </c>
      <c r="C335" t="s">
        <v>138</v>
      </c>
      <c r="D335" t="s">
        <v>1380</v>
      </c>
      <c r="E335" t="s">
        <v>1305</v>
      </c>
      <c r="F335" t="s">
        <v>1381</v>
      </c>
      <c r="G335" t="e">
        <v>#N/A</v>
      </c>
      <c r="H335" t="e">
        <v>#N/A</v>
      </c>
      <c r="I335" t="e">
        <v>#N/A</v>
      </c>
      <c r="J335" s="2">
        <v>5.5</v>
      </c>
      <c r="K335" s="2" t="e">
        <v>#N/A</v>
      </c>
      <c r="L335" t="s">
        <v>1382</v>
      </c>
      <c r="M335" t="s">
        <v>37</v>
      </c>
      <c r="N335">
        <f>2000+RIGHT(Table1[[#This Row],[Release Date]],2)</f>
        <v>2013</v>
      </c>
      <c r="O335">
        <f>_xlfn.MAXIFS(Table1[[#This Row],[Total Shipped]]:Table1[[#This Row],[Total Sales]],Table1[[#This Row],[Total Shipped]]:Table1[[#This Row],[Total Sales]],"&lt;&gt;#N/A")</f>
        <v>5.5</v>
      </c>
      <c r="P335">
        <f>_xlfn.MAXIFS(Table1[[#This Row],[VGChartz Score]:[User Score]],Table1[[#This Row],[VGChartz Score]:[User Score]],"&lt;&gt;#N/A")</f>
        <v>0</v>
      </c>
    </row>
    <row r="336" spans="1:16" hidden="1" x14ac:dyDescent="0.2">
      <c r="A336">
        <f t="shared" si="6"/>
        <v>335</v>
      </c>
      <c r="B336">
        <v>35</v>
      </c>
      <c r="C336" t="s">
        <v>138</v>
      </c>
      <c r="D336" t="s">
        <v>1383</v>
      </c>
      <c r="E336" t="s">
        <v>1305</v>
      </c>
      <c r="F336" t="s">
        <v>1384</v>
      </c>
      <c r="G336" t="e">
        <v>#N/A</v>
      </c>
      <c r="H336" t="e">
        <v>#N/A</v>
      </c>
      <c r="I336" t="e">
        <v>#N/A</v>
      </c>
      <c r="J336" s="1">
        <v>5.5</v>
      </c>
      <c r="K336" s="1" t="e">
        <v>#N/A</v>
      </c>
      <c r="L336" t="s">
        <v>1385</v>
      </c>
      <c r="M336" t="s">
        <v>1386</v>
      </c>
      <c r="N336">
        <f>2000+RIGHT(Table1[[#This Row],[Release Date]],2)</f>
        <v>2019</v>
      </c>
      <c r="O336">
        <f>_xlfn.MAXIFS(Table1[[#This Row],[Total Shipped]]:Table1[[#This Row],[Total Sales]],Table1[[#This Row],[Total Shipped]]:Table1[[#This Row],[Total Sales]],"&lt;&gt;#N/A")</f>
        <v>5.5</v>
      </c>
      <c r="P336">
        <f>_xlfn.MAXIFS(Table1[[#This Row],[VGChartz Score]:[User Score]],Table1[[#This Row],[VGChartz Score]:[User Score]],"&lt;&gt;#N/A")</f>
        <v>0</v>
      </c>
    </row>
    <row r="337" spans="1:16" hidden="1" x14ac:dyDescent="0.2">
      <c r="A337">
        <f t="shared" si="6"/>
        <v>336</v>
      </c>
      <c r="B337">
        <v>36</v>
      </c>
      <c r="C337" t="s">
        <v>138</v>
      </c>
      <c r="D337" t="s">
        <v>656</v>
      </c>
      <c r="E337" t="s">
        <v>1305</v>
      </c>
      <c r="F337" t="s">
        <v>254</v>
      </c>
      <c r="G337" t="e">
        <v>#N/A</v>
      </c>
      <c r="H337">
        <v>8.8000000000000007</v>
      </c>
      <c r="I337" t="e">
        <v>#N/A</v>
      </c>
      <c r="J337" s="2">
        <v>5.5</v>
      </c>
      <c r="K337" s="2" t="e">
        <v>#N/A</v>
      </c>
      <c r="L337" t="s">
        <v>657</v>
      </c>
      <c r="M337" t="s">
        <v>634</v>
      </c>
      <c r="N337">
        <f>2000+RIGHT(Table1[[#This Row],[Release Date]],2)</f>
        <v>2013</v>
      </c>
      <c r="O337">
        <f>_xlfn.MAXIFS(Table1[[#This Row],[Total Shipped]]:Table1[[#This Row],[Total Sales]],Table1[[#This Row],[Total Shipped]]:Table1[[#This Row],[Total Sales]],"&lt;&gt;#N/A")</f>
        <v>5.5</v>
      </c>
      <c r="P337">
        <f>_xlfn.MAXIFS(Table1[[#This Row],[VGChartz Score]:[User Score]],Table1[[#This Row],[VGChartz Score]:[User Score]],"&lt;&gt;#N/A")</f>
        <v>8.8000000000000007</v>
      </c>
    </row>
    <row r="338" spans="1:16" hidden="1" x14ac:dyDescent="0.2">
      <c r="A338">
        <f t="shared" si="6"/>
        <v>337</v>
      </c>
      <c r="B338">
        <v>37</v>
      </c>
      <c r="C338" t="s">
        <v>138</v>
      </c>
      <c r="D338" t="s">
        <v>1387</v>
      </c>
      <c r="E338" t="s">
        <v>1305</v>
      </c>
      <c r="F338" t="s">
        <v>1388</v>
      </c>
      <c r="G338" t="e">
        <v>#N/A</v>
      </c>
      <c r="H338" t="e">
        <v>#N/A</v>
      </c>
      <c r="I338" t="e">
        <v>#N/A</v>
      </c>
      <c r="J338" s="1">
        <v>5.3</v>
      </c>
      <c r="K338" s="1" t="e">
        <v>#N/A</v>
      </c>
      <c r="L338" t="s">
        <v>1389</v>
      </c>
      <c r="M338" t="s">
        <v>1390</v>
      </c>
      <c r="N338">
        <f>2000+RIGHT(Table1[[#This Row],[Release Date]],2)</f>
        <v>2014</v>
      </c>
      <c r="O338">
        <f>_xlfn.MAXIFS(Table1[[#This Row],[Total Shipped]]:Table1[[#This Row],[Total Sales]],Table1[[#This Row],[Total Shipped]]:Table1[[#This Row],[Total Sales]],"&lt;&gt;#N/A")</f>
        <v>5.3</v>
      </c>
      <c r="P338">
        <f>_xlfn.MAXIFS(Table1[[#This Row],[VGChartz Score]:[User Score]],Table1[[#This Row],[VGChartz Score]:[User Score]],"&lt;&gt;#N/A")</f>
        <v>0</v>
      </c>
    </row>
    <row r="339" spans="1:16" hidden="1" x14ac:dyDescent="0.2">
      <c r="A339">
        <f t="shared" si="6"/>
        <v>338</v>
      </c>
      <c r="B339">
        <v>38</v>
      </c>
      <c r="C339" t="s">
        <v>138</v>
      </c>
      <c r="D339" t="s">
        <v>616</v>
      </c>
      <c r="E339" t="s">
        <v>1305</v>
      </c>
      <c r="F339" t="s">
        <v>222</v>
      </c>
      <c r="G339" t="e">
        <v>#N/A</v>
      </c>
      <c r="H339">
        <v>8.3000000000000007</v>
      </c>
      <c r="I339" t="e">
        <v>#N/A</v>
      </c>
      <c r="J339" s="2">
        <v>5.22</v>
      </c>
      <c r="K339" s="2" t="e">
        <v>#N/A</v>
      </c>
      <c r="L339" t="s">
        <v>617</v>
      </c>
      <c r="M339" t="e">
        <v>#N/A</v>
      </c>
      <c r="N339">
        <f>2000+RIGHT(Table1[[#This Row],[Release Date]],2)</f>
        <v>2010</v>
      </c>
      <c r="O339">
        <f>_xlfn.MAXIFS(Table1[[#This Row],[Total Shipped]]:Table1[[#This Row],[Total Sales]],Table1[[#This Row],[Total Shipped]]:Table1[[#This Row],[Total Sales]],"&lt;&gt;#N/A")</f>
        <v>5.22</v>
      </c>
      <c r="P339">
        <f>_xlfn.MAXIFS(Table1[[#This Row],[VGChartz Score]:[User Score]],Table1[[#This Row],[VGChartz Score]:[User Score]],"&lt;&gt;#N/A")</f>
        <v>8.3000000000000007</v>
      </c>
    </row>
    <row r="340" spans="1:16" hidden="1" x14ac:dyDescent="0.2">
      <c r="A340">
        <f t="shared" si="6"/>
        <v>339</v>
      </c>
      <c r="B340">
        <v>39</v>
      </c>
      <c r="C340" t="s">
        <v>138</v>
      </c>
      <c r="D340" t="s">
        <v>1391</v>
      </c>
      <c r="E340" t="s">
        <v>1305</v>
      </c>
      <c r="F340" t="s">
        <v>1392</v>
      </c>
      <c r="G340" t="e">
        <v>#N/A</v>
      </c>
      <c r="H340">
        <v>7</v>
      </c>
      <c r="I340" t="e">
        <v>#N/A</v>
      </c>
      <c r="J340" s="1" t="e">
        <v>#N/A</v>
      </c>
      <c r="K340" s="1">
        <v>5.12</v>
      </c>
      <c r="L340" t="s">
        <v>1393</v>
      </c>
      <c r="M340" t="e">
        <v>#N/A</v>
      </c>
      <c r="N340">
        <f>2000+RIGHT(Table1[[#This Row],[Release Date]],2)</f>
        <v>2096</v>
      </c>
      <c r="O340">
        <f>_xlfn.MAXIFS(Table1[[#This Row],[Total Shipped]]:Table1[[#This Row],[Total Sales]],Table1[[#This Row],[Total Shipped]]:Table1[[#This Row],[Total Sales]],"&lt;&gt;#N/A")</f>
        <v>5.12</v>
      </c>
      <c r="P340">
        <f>_xlfn.MAXIFS(Table1[[#This Row],[VGChartz Score]:[User Score]],Table1[[#This Row],[VGChartz Score]:[User Score]],"&lt;&gt;#N/A")</f>
        <v>7</v>
      </c>
    </row>
    <row r="341" spans="1:16" hidden="1" x14ac:dyDescent="0.2">
      <c r="A341">
        <f t="shared" si="6"/>
        <v>340</v>
      </c>
      <c r="B341">
        <v>40</v>
      </c>
      <c r="C341" t="s">
        <v>138</v>
      </c>
      <c r="D341" t="s">
        <v>1394</v>
      </c>
      <c r="E341" t="s">
        <v>1305</v>
      </c>
      <c r="F341" t="s">
        <v>1395</v>
      </c>
      <c r="G341" t="e">
        <v>#N/A</v>
      </c>
      <c r="H341" t="e">
        <v>#N/A</v>
      </c>
      <c r="I341" t="e">
        <v>#N/A</v>
      </c>
      <c r="J341" s="2">
        <v>5</v>
      </c>
      <c r="K341" s="2" t="e">
        <v>#N/A</v>
      </c>
      <c r="L341" t="s">
        <v>1396</v>
      </c>
      <c r="M341" t="s">
        <v>312</v>
      </c>
      <c r="N341">
        <f>2000+RIGHT(Table1[[#This Row],[Release Date]],2)</f>
        <v>2015</v>
      </c>
      <c r="O341">
        <f>_xlfn.MAXIFS(Table1[[#This Row],[Total Shipped]]:Table1[[#This Row],[Total Sales]],Table1[[#This Row],[Total Shipped]]:Table1[[#This Row],[Total Sales]],"&lt;&gt;#N/A")</f>
        <v>5</v>
      </c>
      <c r="P341">
        <f>_xlfn.MAXIFS(Table1[[#This Row],[VGChartz Score]:[User Score]],Table1[[#This Row],[VGChartz Score]:[User Score]],"&lt;&gt;#N/A")</f>
        <v>0</v>
      </c>
    </row>
    <row r="342" spans="1:16" hidden="1" x14ac:dyDescent="0.2">
      <c r="A342">
        <f t="shared" si="6"/>
        <v>341</v>
      </c>
      <c r="B342">
        <v>41</v>
      </c>
      <c r="C342" t="s">
        <v>138</v>
      </c>
      <c r="D342" t="s">
        <v>1397</v>
      </c>
      <c r="E342" t="s">
        <v>1305</v>
      </c>
      <c r="F342" t="s">
        <v>1398</v>
      </c>
      <c r="G342" t="e">
        <v>#N/A</v>
      </c>
      <c r="H342">
        <v>7.5</v>
      </c>
      <c r="I342" t="e">
        <v>#N/A</v>
      </c>
      <c r="J342" s="1">
        <v>5</v>
      </c>
      <c r="K342" s="1" t="e">
        <v>#N/A</v>
      </c>
      <c r="L342" t="s">
        <v>1399</v>
      </c>
      <c r="M342" t="e">
        <v>#N/A</v>
      </c>
      <c r="N342">
        <f>2000+RIGHT(Table1[[#This Row],[Release Date]],2)</f>
        <v>2009</v>
      </c>
      <c r="O342">
        <f>_xlfn.MAXIFS(Table1[[#This Row],[Total Shipped]]:Table1[[#This Row],[Total Sales]],Table1[[#This Row],[Total Shipped]]:Table1[[#This Row],[Total Sales]],"&lt;&gt;#N/A")</f>
        <v>5</v>
      </c>
      <c r="P342">
        <f>_xlfn.MAXIFS(Table1[[#This Row],[VGChartz Score]:[User Score]],Table1[[#This Row],[VGChartz Score]:[User Score]],"&lt;&gt;#N/A")</f>
        <v>7.5</v>
      </c>
    </row>
    <row r="343" spans="1:16" hidden="1" x14ac:dyDescent="0.2">
      <c r="A343">
        <f t="shared" si="6"/>
        <v>342</v>
      </c>
      <c r="B343">
        <v>42</v>
      </c>
      <c r="C343" t="s">
        <v>138</v>
      </c>
      <c r="D343" t="s">
        <v>1400</v>
      </c>
      <c r="E343" t="s">
        <v>1305</v>
      </c>
      <c r="F343" t="s">
        <v>1401</v>
      </c>
      <c r="G343" t="e">
        <v>#N/A</v>
      </c>
      <c r="H343" t="e">
        <v>#N/A</v>
      </c>
      <c r="I343" t="e">
        <v>#N/A</v>
      </c>
      <c r="J343" s="2">
        <v>5</v>
      </c>
      <c r="K343" s="2" t="e">
        <v>#N/A</v>
      </c>
      <c r="L343" t="s">
        <v>1402</v>
      </c>
      <c r="M343" t="s">
        <v>1403</v>
      </c>
      <c r="N343">
        <f>2000+RIGHT(Table1[[#This Row],[Release Date]],2)</f>
        <v>2025</v>
      </c>
      <c r="O343">
        <f>_xlfn.MAXIFS(Table1[[#This Row],[Total Shipped]]:Table1[[#This Row],[Total Sales]],Table1[[#This Row],[Total Shipped]]:Table1[[#This Row],[Total Sales]],"&lt;&gt;#N/A")</f>
        <v>5</v>
      </c>
      <c r="P343">
        <f>_xlfn.MAXIFS(Table1[[#This Row],[VGChartz Score]:[User Score]],Table1[[#This Row],[VGChartz Score]:[User Score]],"&lt;&gt;#N/A")</f>
        <v>0</v>
      </c>
    </row>
    <row r="344" spans="1:16" hidden="1" x14ac:dyDescent="0.2">
      <c r="A344">
        <f t="shared" si="6"/>
        <v>343</v>
      </c>
      <c r="B344">
        <v>43</v>
      </c>
      <c r="C344" t="s">
        <v>138</v>
      </c>
      <c r="D344" t="s">
        <v>1404</v>
      </c>
      <c r="E344" t="s">
        <v>1305</v>
      </c>
      <c r="F344" t="s">
        <v>1378</v>
      </c>
      <c r="G344">
        <v>5</v>
      </c>
      <c r="H344">
        <v>6.7</v>
      </c>
      <c r="I344" t="e">
        <v>#N/A</v>
      </c>
      <c r="J344" s="1">
        <v>5</v>
      </c>
      <c r="K344" s="1" t="e">
        <v>#N/A</v>
      </c>
      <c r="L344" t="s">
        <v>1258</v>
      </c>
      <c r="M344" t="s">
        <v>1405</v>
      </c>
      <c r="N344">
        <f>2000+RIGHT(Table1[[#This Row],[Release Date]],2)</f>
        <v>2018</v>
      </c>
      <c r="O344">
        <f>_xlfn.MAXIFS(Table1[[#This Row],[Total Shipped]]:Table1[[#This Row],[Total Sales]],Table1[[#This Row],[Total Shipped]]:Table1[[#This Row],[Total Sales]],"&lt;&gt;#N/A")</f>
        <v>5</v>
      </c>
      <c r="P344">
        <f>_xlfn.MAXIFS(Table1[[#This Row],[VGChartz Score]:[User Score]],Table1[[#This Row],[VGChartz Score]:[User Score]],"&lt;&gt;#N/A")</f>
        <v>6.7</v>
      </c>
    </row>
    <row r="345" spans="1:16" hidden="1" x14ac:dyDescent="0.2">
      <c r="A345">
        <f t="shared" si="6"/>
        <v>344</v>
      </c>
      <c r="B345">
        <v>44</v>
      </c>
      <c r="C345" t="s">
        <v>138</v>
      </c>
      <c r="D345" t="s">
        <v>1406</v>
      </c>
      <c r="E345" t="s">
        <v>1305</v>
      </c>
      <c r="F345" t="s">
        <v>324</v>
      </c>
      <c r="G345" t="e">
        <v>#N/A</v>
      </c>
      <c r="H345">
        <v>8.5</v>
      </c>
      <c r="I345" t="e">
        <v>#N/A</v>
      </c>
      <c r="J345" s="2">
        <v>5</v>
      </c>
      <c r="K345" s="2" t="e">
        <v>#N/A</v>
      </c>
      <c r="L345" t="s">
        <v>1407</v>
      </c>
      <c r="M345" t="e">
        <v>#N/A</v>
      </c>
      <c r="N345">
        <f>2000+RIGHT(Table1[[#This Row],[Release Date]],2)</f>
        <v>2098</v>
      </c>
      <c r="O345">
        <f>_xlfn.MAXIFS(Table1[[#This Row],[Total Shipped]]:Table1[[#This Row],[Total Sales]],Table1[[#This Row],[Total Shipped]]:Table1[[#This Row],[Total Sales]],"&lt;&gt;#N/A")</f>
        <v>5</v>
      </c>
      <c r="P345">
        <f>_xlfn.MAXIFS(Table1[[#This Row],[VGChartz Score]:[User Score]],Table1[[#This Row],[VGChartz Score]:[User Score]],"&lt;&gt;#N/A")</f>
        <v>8.5</v>
      </c>
    </row>
    <row r="346" spans="1:16" hidden="1" x14ac:dyDescent="0.2">
      <c r="A346">
        <f t="shared" si="6"/>
        <v>345</v>
      </c>
      <c r="B346">
        <v>45</v>
      </c>
      <c r="C346" t="s">
        <v>138</v>
      </c>
      <c r="D346" t="s">
        <v>1408</v>
      </c>
      <c r="E346" t="s">
        <v>1305</v>
      </c>
      <c r="F346" t="s">
        <v>392</v>
      </c>
      <c r="G346">
        <v>9</v>
      </c>
      <c r="H346">
        <v>9</v>
      </c>
      <c r="I346" t="e">
        <v>#N/A</v>
      </c>
      <c r="J346" s="1">
        <v>4.7</v>
      </c>
      <c r="K346" s="1" t="e">
        <v>#N/A</v>
      </c>
      <c r="L346" t="s">
        <v>1409</v>
      </c>
      <c r="M346" t="s">
        <v>1333</v>
      </c>
      <c r="N346">
        <f>2000+RIGHT(Table1[[#This Row],[Release Date]],2)</f>
        <v>2010</v>
      </c>
      <c r="O346">
        <f>_xlfn.MAXIFS(Table1[[#This Row],[Total Shipped]]:Table1[[#This Row],[Total Sales]],Table1[[#This Row],[Total Shipped]]:Table1[[#This Row],[Total Sales]],"&lt;&gt;#N/A")</f>
        <v>4.7</v>
      </c>
      <c r="P346">
        <f>_xlfn.MAXIFS(Table1[[#This Row],[VGChartz Score]:[User Score]],Table1[[#This Row],[VGChartz Score]:[User Score]],"&lt;&gt;#N/A")</f>
        <v>9</v>
      </c>
    </row>
    <row r="347" spans="1:16" hidden="1" x14ac:dyDescent="0.2">
      <c r="A347">
        <f t="shared" si="6"/>
        <v>346</v>
      </c>
      <c r="B347">
        <v>46</v>
      </c>
      <c r="C347" t="s">
        <v>138</v>
      </c>
      <c r="D347" t="s">
        <v>1410</v>
      </c>
      <c r="E347" t="s">
        <v>1305</v>
      </c>
      <c r="F347" t="s">
        <v>1346</v>
      </c>
      <c r="G347" t="e">
        <v>#N/A</v>
      </c>
      <c r="H347">
        <v>8.6</v>
      </c>
      <c r="I347">
        <v>8.5</v>
      </c>
      <c r="J347" s="2">
        <v>4.5999999999999996</v>
      </c>
      <c r="K347" s="2" t="e">
        <v>#N/A</v>
      </c>
      <c r="L347" t="s">
        <v>1411</v>
      </c>
      <c r="M347" t="e">
        <v>#N/A</v>
      </c>
      <c r="N347">
        <f>2000+RIGHT(Table1[[#This Row],[Release Date]],2)</f>
        <v>2008</v>
      </c>
      <c r="O347">
        <f>_xlfn.MAXIFS(Table1[[#This Row],[Total Shipped]]:Table1[[#This Row],[Total Sales]],Table1[[#This Row],[Total Shipped]]:Table1[[#This Row],[Total Sales]],"&lt;&gt;#N/A")</f>
        <v>4.5999999999999996</v>
      </c>
      <c r="P347">
        <f>_xlfn.MAXIFS(Table1[[#This Row],[VGChartz Score]:[User Score]],Table1[[#This Row],[VGChartz Score]:[User Score]],"&lt;&gt;#N/A")</f>
        <v>8.6</v>
      </c>
    </row>
    <row r="348" spans="1:16" hidden="1" x14ac:dyDescent="0.2">
      <c r="A348">
        <f t="shared" si="6"/>
        <v>347</v>
      </c>
      <c r="B348">
        <v>47</v>
      </c>
      <c r="C348" t="s">
        <v>138</v>
      </c>
      <c r="D348" t="s">
        <v>1412</v>
      </c>
      <c r="E348" t="s">
        <v>1305</v>
      </c>
      <c r="F348" t="s">
        <v>484</v>
      </c>
      <c r="G348">
        <v>9.5</v>
      </c>
      <c r="H348" t="e">
        <v>#N/A</v>
      </c>
      <c r="I348" t="e">
        <v>#N/A</v>
      </c>
      <c r="J348" s="1">
        <v>4.5599999999999996</v>
      </c>
      <c r="K348" s="1" t="e">
        <v>#N/A</v>
      </c>
      <c r="L348" t="s">
        <v>1413</v>
      </c>
      <c r="M348" t="e">
        <v>#N/A</v>
      </c>
      <c r="N348">
        <f>2000+RIGHT(Table1[[#This Row],[Release Date]],2)</f>
        <v>2013</v>
      </c>
      <c r="O348">
        <f>_xlfn.MAXIFS(Table1[[#This Row],[Total Shipped]]:Table1[[#This Row],[Total Sales]],Table1[[#This Row],[Total Shipped]]:Table1[[#This Row],[Total Sales]],"&lt;&gt;#N/A")</f>
        <v>4.5599999999999996</v>
      </c>
      <c r="P348">
        <f>_xlfn.MAXIFS(Table1[[#This Row],[VGChartz Score]:[User Score]],Table1[[#This Row],[VGChartz Score]:[User Score]],"&lt;&gt;#N/A")</f>
        <v>9.5</v>
      </c>
    </row>
    <row r="349" spans="1:16" hidden="1" x14ac:dyDescent="0.2">
      <c r="A349">
        <f t="shared" si="6"/>
        <v>348</v>
      </c>
      <c r="B349">
        <v>48</v>
      </c>
      <c r="C349" t="s">
        <v>138</v>
      </c>
      <c r="D349" t="s">
        <v>677</v>
      </c>
      <c r="E349" t="s">
        <v>1305</v>
      </c>
      <c r="F349" t="s">
        <v>678</v>
      </c>
      <c r="G349" t="e">
        <v>#N/A</v>
      </c>
      <c r="H349">
        <v>7.1</v>
      </c>
      <c r="I349" t="e">
        <v>#N/A</v>
      </c>
      <c r="J349" s="2">
        <v>4.5199999999999996</v>
      </c>
      <c r="K349" s="2" t="e">
        <v>#N/A</v>
      </c>
      <c r="L349" t="s">
        <v>679</v>
      </c>
      <c r="M349" t="e">
        <v>#N/A</v>
      </c>
      <c r="N349">
        <f>2000+RIGHT(Table1[[#This Row],[Release Date]],2)</f>
        <v>2011</v>
      </c>
      <c r="O349">
        <f>_xlfn.MAXIFS(Table1[[#This Row],[Total Shipped]]:Table1[[#This Row],[Total Sales]],Table1[[#This Row],[Total Shipped]]:Table1[[#This Row],[Total Sales]],"&lt;&gt;#N/A")</f>
        <v>4.5199999999999996</v>
      </c>
      <c r="P349">
        <f>_xlfn.MAXIFS(Table1[[#This Row],[VGChartz Score]:[User Score]],Table1[[#This Row],[VGChartz Score]:[User Score]],"&lt;&gt;#N/A")</f>
        <v>7.1</v>
      </c>
    </row>
    <row r="350" spans="1:16" hidden="1" x14ac:dyDescent="0.2">
      <c r="A350">
        <f t="shared" si="6"/>
        <v>349</v>
      </c>
      <c r="B350">
        <v>49</v>
      </c>
      <c r="C350" t="s">
        <v>138</v>
      </c>
      <c r="D350" t="s">
        <v>1414</v>
      </c>
      <c r="E350" t="s">
        <v>1305</v>
      </c>
      <c r="F350" t="s">
        <v>1415</v>
      </c>
      <c r="G350" t="e">
        <v>#N/A</v>
      </c>
      <c r="H350" t="e">
        <v>#N/A</v>
      </c>
      <c r="I350" t="e">
        <v>#N/A</v>
      </c>
      <c r="J350" s="1">
        <v>4.51</v>
      </c>
      <c r="K350" s="1" t="e">
        <v>#N/A</v>
      </c>
      <c r="L350" t="s">
        <v>1014</v>
      </c>
      <c r="M350" t="s">
        <v>1416</v>
      </c>
      <c r="N350">
        <f>2000+RIGHT(Table1[[#This Row],[Release Date]],2)</f>
        <v>2010</v>
      </c>
      <c r="O350">
        <f>_xlfn.MAXIFS(Table1[[#This Row],[Total Shipped]]:Table1[[#This Row],[Total Sales]],Table1[[#This Row],[Total Shipped]]:Table1[[#This Row],[Total Sales]],"&lt;&gt;#N/A")</f>
        <v>4.51</v>
      </c>
      <c r="P350">
        <f>_xlfn.MAXIFS(Table1[[#This Row],[VGChartz Score]:[User Score]],Table1[[#This Row],[VGChartz Score]:[User Score]],"&lt;&gt;#N/A")</f>
        <v>0</v>
      </c>
    </row>
    <row r="351" spans="1:16" hidden="1" x14ac:dyDescent="0.2">
      <c r="A351">
        <f t="shared" si="6"/>
        <v>350</v>
      </c>
      <c r="B351">
        <v>50</v>
      </c>
      <c r="C351" t="s">
        <v>138</v>
      </c>
      <c r="D351" t="s">
        <v>1417</v>
      </c>
      <c r="E351" t="s">
        <v>1305</v>
      </c>
      <c r="F351" t="s">
        <v>1418</v>
      </c>
      <c r="G351" t="e">
        <v>#N/A</v>
      </c>
      <c r="H351" t="e">
        <v>#N/A</v>
      </c>
      <c r="I351" t="e">
        <v>#N/A</v>
      </c>
      <c r="J351" s="2">
        <v>4.5</v>
      </c>
      <c r="K351" s="2" t="e">
        <v>#N/A</v>
      </c>
      <c r="L351" t="s">
        <v>1419</v>
      </c>
      <c r="M351" t="s">
        <v>411</v>
      </c>
      <c r="N351">
        <f>2000+RIGHT(Table1[[#This Row],[Release Date]],2)</f>
        <v>2015</v>
      </c>
      <c r="O351">
        <f>_xlfn.MAXIFS(Table1[[#This Row],[Total Shipped]]:Table1[[#This Row],[Total Sales]],Table1[[#This Row],[Total Shipped]]:Table1[[#This Row],[Total Sales]],"&lt;&gt;#N/A")</f>
        <v>4.5</v>
      </c>
      <c r="P351">
        <f>_xlfn.MAXIFS(Table1[[#This Row],[VGChartz Score]:[User Score]],Table1[[#This Row],[VGChartz Score]:[User Score]],"&lt;&gt;#N/A")</f>
        <v>0</v>
      </c>
    </row>
    <row r="352" spans="1:16" hidden="1" x14ac:dyDescent="0.2">
      <c r="A352">
        <f t="shared" si="6"/>
        <v>351</v>
      </c>
      <c r="B352">
        <v>51</v>
      </c>
      <c r="C352" t="s">
        <v>138</v>
      </c>
      <c r="D352" t="s">
        <v>1420</v>
      </c>
      <c r="E352" t="s">
        <v>1305</v>
      </c>
      <c r="F352" t="s">
        <v>1421</v>
      </c>
      <c r="G352" t="e">
        <v>#N/A</v>
      </c>
      <c r="H352" t="e">
        <v>#N/A</v>
      </c>
      <c r="I352" t="e">
        <v>#N/A</v>
      </c>
      <c r="J352" s="1">
        <v>4.5</v>
      </c>
      <c r="K352" s="1" t="e">
        <v>#N/A</v>
      </c>
      <c r="L352" t="s">
        <v>1422</v>
      </c>
      <c r="M352" t="e">
        <v>#N/A</v>
      </c>
      <c r="N352">
        <f>2000+RIGHT(Table1[[#This Row],[Release Date]],2)</f>
        <v>2097</v>
      </c>
      <c r="O352">
        <f>_xlfn.MAXIFS(Table1[[#This Row],[Total Shipped]]:Table1[[#This Row],[Total Sales]],Table1[[#This Row],[Total Shipped]]:Table1[[#This Row],[Total Sales]],"&lt;&gt;#N/A")</f>
        <v>4.5</v>
      </c>
      <c r="P352">
        <f>_xlfn.MAXIFS(Table1[[#This Row],[VGChartz Score]:[User Score]],Table1[[#This Row],[VGChartz Score]:[User Score]],"&lt;&gt;#N/A")</f>
        <v>0</v>
      </c>
    </row>
    <row r="353" spans="1:16" hidden="1" x14ac:dyDescent="0.2">
      <c r="A353">
        <f t="shared" si="6"/>
        <v>352</v>
      </c>
      <c r="B353">
        <v>52</v>
      </c>
      <c r="C353" t="s">
        <v>138</v>
      </c>
      <c r="D353" t="s">
        <v>1423</v>
      </c>
      <c r="E353" t="s">
        <v>1305</v>
      </c>
      <c r="F353" t="s">
        <v>392</v>
      </c>
      <c r="G353" t="e">
        <v>#N/A</v>
      </c>
      <c r="H353">
        <v>9.3000000000000007</v>
      </c>
      <c r="I353" t="e">
        <v>#N/A</v>
      </c>
      <c r="J353" s="2">
        <v>4.5</v>
      </c>
      <c r="K353" s="2" t="e">
        <v>#N/A</v>
      </c>
      <c r="L353" t="s">
        <v>1424</v>
      </c>
      <c r="M353" t="s">
        <v>1338</v>
      </c>
      <c r="N353">
        <f>2000+RIGHT(Table1[[#This Row],[Release Date]],2)</f>
        <v>2002</v>
      </c>
      <c r="O353">
        <f>_xlfn.MAXIFS(Table1[[#This Row],[Total Shipped]]:Table1[[#This Row],[Total Sales]],Table1[[#This Row],[Total Shipped]]:Table1[[#This Row],[Total Sales]],"&lt;&gt;#N/A")</f>
        <v>4.5</v>
      </c>
      <c r="P353">
        <f>_xlfn.MAXIFS(Table1[[#This Row],[VGChartz Score]:[User Score]],Table1[[#This Row],[VGChartz Score]:[User Score]],"&lt;&gt;#N/A")</f>
        <v>9.3000000000000007</v>
      </c>
    </row>
    <row r="354" spans="1:16" hidden="1" x14ac:dyDescent="0.2">
      <c r="A354">
        <f t="shared" si="6"/>
        <v>353</v>
      </c>
      <c r="B354">
        <v>53</v>
      </c>
      <c r="C354" t="s">
        <v>138</v>
      </c>
      <c r="D354" t="s">
        <v>1425</v>
      </c>
      <c r="E354" t="s">
        <v>1305</v>
      </c>
      <c r="F354" t="s">
        <v>1426</v>
      </c>
      <c r="G354" t="e">
        <v>#N/A</v>
      </c>
      <c r="H354" t="e">
        <v>#N/A</v>
      </c>
      <c r="I354" t="e">
        <v>#N/A</v>
      </c>
      <c r="J354" s="1">
        <v>4.3099999999999996</v>
      </c>
      <c r="K354" s="1" t="e">
        <v>#N/A</v>
      </c>
      <c r="L354" t="s">
        <v>1427</v>
      </c>
      <c r="M354" t="e">
        <v>#N/A</v>
      </c>
      <c r="N354">
        <f>2000+RIGHT(Table1[[#This Row],[Release Date]],2)</f>
        <v>2014</v>
      </c>
      <c r="O354">
        <f>_xlfn.MAXIFS(Table1[[#This Row],[Total Shipped]]:Table1[[#This Row],[Total Sales]],Table1[[#This Row],[Total Shipped]]:Table1[[#This Row],[Total Sales]],"&lt;&gt;#N/A")</f>
        <v>4.3099999999999996</v>
      </c>
      <c r="P354">
        <f>_xlfn.MAXIFS(Table1[[#This Row],[VGChartz Score]:[User Score]],Table1[[#This Row],[VGChartz Score]:[User Score]],"&lt;&gt;#N/A")</f>
        <v>0</v>
      </c>
    </row>
    <row r="355" spans="1:16" hidden="1" x14ac:dyDescent="0.2">
      <c r="A355">
        <f t="shared" si="6"/>
        <v>354</v>
      </c>
      <c r="B355">
        <v>54</v>
      </c>
      <c r="C355" t="s">
        <v>138</v>
      </c>
      <c r="D355" t="s">
        <v>1428</v>
      </c>
      <c r="E355" t="s">
        <v>1305</v>
      </c>
      <c r="F355" t="s">
        <v>1429</v>
      </c>
      <c r="G355" t="e">
        <v>#N/A</v>
      </c>
      <c r="H355" t="e">
        <v>#N/A</v>
      </c>
      <c r="I355" t="e">
        <v>#N/A</v>
      </c>
      <c r="J355" s="2">
        <v>4.2</v>
      </c>
      <c r="K355" s="2" t="e">
        <v>#N/A</v>
      </c>
      <c r="L355" t="s">
        <v>1430</v>
      </c>
      <c r="M355" t="e">
        <v>#N/A</v>
      </c>
      <c r="N355">
        <f>2000+RIGHT(Table1[[#This Row],[Release Date]],2)</f>
        <v>2000</v>
      </c>
      <c r="O355">
        <f>_xlfn.MAXIFS(Table1[[#This Row],[Total Shipped]]:Table1[[#This Row],[Total Sales]],Table1[[#This Row],[Total Shipped]]:Table1[[#This Row],[Total Sales]],"&lt;&gt;#N/A")</f>
        <v>4.2</v>
      </c>
      <c r="P355">
        <f>_xlfn.MAXIFS(Table1[[#This Row],[VGChartz Score]:[User Score]],Table1[[#This Row],[VGChartz Score]:[User Score]],"&lt;&gt;#N/A")</f>
        <v>0</v>
      </c>
    </row>
    <row r="356" spans="1:16" hidden="1" x14ac:dyDescent="0.2">
      <c r="A356">
        <f t="shared" ref="A356:A411" si="7">ROW()-1</f>
        <v>355</v>
      </c>
      <c r="B356">
        <v>55</v>
      </c>
      <c r="C356" t="s">
        <v>138</v>
      </c>
      <c r="D356" t="s">
        <v>1431</v>
      </c>
      <c r="E356" t="s">
        <v>1305</v>
      </c>
      <c r="F356" t="s">
        <v>1432</v>
      </c>
      <c r="G356" t="e">
        <v>#N/A</v>
      </c>
      <c r="H356" t="e">
        <v>#N/A</v>
      </c>
      <c r="I356" t="e">
        <v>#N/A</v>
      </c>
      <c r="J356" s="1">
        <v>4.18</v>
      </c>
      <c r="K356" s="1" t="e">
        <v>#N/A</v>
      </c>
      <c r="L356" t="s">
        <v>1433</v>
      </c>
      <c r="M356" t="s">
        <v>985</v>
      </c>
      <c r="N356">
        <f>2000+RIGHT(Table1[[#This Row],[Release Date]],2)</f>
        <v>2013</v>
      </c>
      <c r="O356">
        <f>_xlfn.MAXIFS(Table1[[#This Row],[Total Shipped]]:Table1[[#This Row],[Total Sales]],Table1[[#This Row],[Total Shipped]]:Table1[[#This Row],[Total Sales]],"&lt;&gt;#N/A")</f>
        <v>4.18</v>
      </c>
      <c r="P356">
        <f>_xlfn.MAXIFS(Table1[[#This Row],[VGChartz Score]:[User Score]],Table1[[#This Row],[VGChartz Score]:[User Score]],"&lt;&gt;#N/A")</f>
        <v>0</v>
      </c>
    </row>
    <row r="357" spans="1:16" hidden="1" x14ac:dyDescent="0.2">
      <c r="A357">
        <f t="shared" si="7"/>
        <v>356</v>
      </c>
      <c r="B357">
        <v>56</v>
      </c>
      <c r="C357" t="s">
        <v>138</v>
      </c>
      <c r="D357" t="s">
        <v>1434</v>
      </c>
      <c r="E357" t="s">
        <v>1305</v>
      </c>
      <c r="F357" t="s">
        <v>597</v>
      </c>
      <c r="G357">
        <v>7.8</v>
      </c>
      <c r="H357">
        <v>8.1999999999999993</v>
      </c>
      <c r="I357" t="e">
        <v>#N/A</v>
      </c>
      <c r="J357" s="2">
        <v>4.16</v>
      </c>
      <c r="K357" s="2" t="e">
        <v>#N/A</v>
      </c>
      <c r="L357" t="s">
        <v>1435</v>
      </c>
      <c r="M357" t="e">
        <v>#N/A</v>
      </c>
      <c r="N357">
        <f>2000+RIGHT(Table1[[#This Row],[Release Date]],2)</f>
        <v>2010</v>
      </c>
      <c r="O357">
        <f>_xlfn.MAXIFS(Table1[[#This Row],[Total Shipped]]:Table1[[#This Row],[Total Sales]],Table1[[#This Row],[Total Shipped]]:Table1[[#This Row],[Total Sales]],"&lt;&gt;#N/A")</f>
        <v>4.16</v>
      </c>
      <c r="P357">
        <f>_xlfn.MAXIFS(Table1[[#This Row],[VGChartz Score]:[User Score]],Table1[[#This Row],[VGChartz Score]:[User Score]],"&lt;&gt;#N/A")</f>
        <v>8.1999999999999993</v>
      </c>
    </row>
    <row r="358" spans="1:16" hidden="1" x14ac:dyDescent="0.2">
      <c r="A358">
        <f t="shared" si="7"/>
        <v>357</v>
      </c>
      <c r="B358">
        <v>57</v>
      </c>
      <c r="C358" t="s">
        <v>138</v>
      </c>
      <c r="D358" t="s">
        <v>1436</v>
      </c>
      <c r="E358" t="s">
        <v>1305</v>
      </c>
      <c r="F358" t="s">
        <v>324</v>
      </c>
      <c r="G358">
        <v>5.8</v>
      </c>
      <c r="H358">
        <v>7</v>
      </c>
      <c r="I358" t="e">
        <v>#N/A</v>
      </c>
      <c r="J358" s="1" t="e">
        <v>#N/A</v>
      </c>
      <c r="K358" s="1">
        <v>4.0999999999999996</v>
      </c>
      <c r="L358" t="s">
        <v>1437</v>
      </c>
      <c r="M358" t="s">
        <v>395</v>
      </c>
      <c r="N358">
        <f>2000+RIGHT(Table1[[#This Row],[Release Date]],2)</f>
        <v>2014</v>
      </c>
      <c r="O358">
        <f>_xlfn.MAXIFS(Table1[[#This Row],[Total Shipped]]:Table1[[#This Row],[Total Sales]],Table1[[#This Row],[Total Shipped]]:Table1[[#This Row],[Total Sales]],"&lt;&gt;#N/A")</f>
        <v>4.0999999999999996</v>
      </c>
      <c r="P358">
        <f>_xlfn.MAXIFS(Table1[[#This Row],[VGChartz Score]:[User Score]],Table1[[#This Row],[VGChartz Score]:[User Score]],"&lt;&gt;#N/A")</f>
        <v>7</v>
      </c>
    </row>
    <row r="359" spans="1:16" hidden="1" x14ac:dyDescent="0.2">
      <c r="A359">
        <f t="shared" si="7"/>
        <v>358</v>
      </c>
      <c r="B359">
        <v>58</v>
      </c>
      <c r="C359" t="s">
        <v>138</v>
      </c>
      <c r="D359" t="s">
        <v>1438</v>
      </c>
      <c r="E359" t="s">
        <v>1305</v>
      </c>
      <c r="F359" t="s">
        <v>1381</v>
      </c>
      <c r="G359" t="e">
        <v>#N/A</v>
      </c>
      <c r="H359" t="e">
        <v>#N/A</v>
      </c>
      <c r="I359" t="e">
        <v>#N/A</v>
      </c>
      <c r="J359" s="2">
        <v>4</v>
      </c>
      <c r="K359" s="2" t="e">
        <v>#N/A</v>
      </c>
      <c r="L359" t="s">
        <v>1439</v>
      </c>
      <c r="M359" t="s">
        <v>1440</v>
      </c>
      <c r="N359">
        <f>2000+RIGHT(Table1[[#This Row],[Release Date]],2)</f>
        <v>2012</v>
      </c>
      <c r="O359">
        <f>_xlfn.MAXIFS(Table1[[#This Row],[Total Shipped]]:Table1[[#This Row],[Total Sales]],Table1[[#This Row],[Total Shipped]]:Table1[[#This Row],[Total Sales]],"&lt;&gt;#N/A")</f>
        <v>4</v>
      </c>
      <c r="P359">
        <f>_xlfn.MAXIFS(Table1[[#This Row],[VGChartz Score]:[User Score]],Table1[[#This Row],[VGChartz Score]:[User Score]],"&lt;&gt;#N/A")</f>
        <v>0</v>
      </c>
    </row>
    <row r="360" spans="1:16" hidden="1" x14ac:dyDescent="0.2">
      <c r="A360">
        <f t="shared" si="7"/>
        <v>359</v>
      </c>
      <c r="B360">
        <v>59</v>
      </c>
      <c r="C360" t="s">
        <v>138</v>
      </c>
      <c r="D360" t="s">
        <v>1441</v>
      </c>
      <c r="E360" t="s">
        <v>1305</v>
      </c>
      <c r="F360" t="s">
        <v>392</v>
      </c>
      <c r="G360" t="e">
        <v>#N/A</v>
      </c>
      <c r="H360">
        <v>8.8000000000000007</v>
      </c>
      <c r="I360" t="e">
        <v>#N/A</v>
      </c>
      <c r="J360" s="1">
        <v>4</v>
      </c>
      <c r="K360" s="1" t="e">
        <v>#N/A</v>
      </c>
      <c r="L360" t="s">
        <v>1442</v>
      </c>
      <c r="M360" t="e">
        <v>#N/A</v>
      </c>
      <c r="N360">
        <f>2000+RIGHT(Table1[[#This Row],[Release Date]],2)</f>
        <v>2000</v>
      </c>
      <c r="O360">
        <f>_xlfn.MAXIFS(Table1[[#This Row],[Total Shipped]]:Table1[[#This Row],[Total Sales]],Table1[[#This Row],[Total Shipped]]:Table1[[#This Row],[Total Sales]],"&lt;&gt;#N/A")</f>
        <v>4</v>
      </c>
      <c r="P360">
        <f>_xlfn.MAXIFS(Table1[[#This Row],[VGChartz Score]:[User Score]],Table1[[#This Row],[VGChartz Score]:[User Score]],"&lt;&gt;#N/A")</f>
        <v>8.8000000000000007</v>
      </c>
    </row>
    <row r="361" spans="1:16" x14ac:dyDescent="0.2">
      <c r="A361">
        <f t="shared" si="7"/>
        <v>360</v>
      </c>
      <c r="B361">
        <v>60</v>
      </c>
      <c r="C361" t="s">
        <v>138</v>
      </c>
      <c r="D361" t="s">
        <v>1443</v>
      </c>
      <c r="E361" t="s">
        <v>1305</v>
      </c>
      <c r="F361" t="s">
        <v>1444</v>
      </c>
      <c r="G361" t="e">
        <v>#N/A</v>
      </c>
      <c r="H361" t="e">
        <v>#N/A</v>
      </c>
      <c r="I361" t="e">
        <v>#N/A</v>
      </c>
      <c r="J361" s="2">
        <v>4</v>
      </c>
      <c r="K361" s="2" t="e">
        <v>#N/A</v>
      </c>
      <c r="L361" t="s">
        <v>1445</v>
      </c>
      <c r="M361" t="s">
        <v>1446</v>
      </c>
      <c r="N361">
        <f>2000+RIGHT(Table1[[#This Row],[Release Date]],2)</f>
        <v>2022</v>
      </c>
      <c r="O361">
        <f>_xlfn.MAXIFS(Table1[[#This Row],[Total Shipped]]:Table1[[#This Row],[Total Sales]],Table1[[#This Row],[Total Shipped]]:Table1[[#This Row],[Total Sales]],"&lt;&gt;#N/A")</f>
        <v>4</v>
      </c>
      <c r="P361">
        <f>_xlfn.MAXIFS(Table1[[#This Row],[VGChartz Score]:[User Score]],Table1[[#This Row],[VGChartz Score]:[User Score]],"&lt;&gt;#N/A")</f>
        <v>0</v>
      </c>
    </row>
    <row r="362" spans="1:16" hidden="1" x14ac:dyDescent="0.2">
      <c r="A362">
        <f t="shared" si="7"/>
        <v>361</v>
      </c>
      <c r="B362">
        <v>61</v>
      </c>
      <c r="C362" t="s">
        <v>138</v>
      </c>
      <c r="D362" t="s">
        <v>1447</v>
      </c>
      <c r="E362" t="s">
        <v>1305</v>
      </c>
      <c r="F362" t="s">
        <v>661</v>
      </c>
      <c r="G362" t="e">
        <v>#N/A</v>
      </c>
      <c r="H362">
        <v>8.8000000000000007</v>
      </c>
      <c r="I362" t="e">
        <v>#N/A</v>
      </c>
      <c r="J362" s="1">
        <v>4</v>
      </c>
      <c r="K362" s="1" t="e">
        <v>#N/A</v>
      </c>
      <c r="L362" t="s">
        <v>1448</v>
      </c>
      <c r="M362" t="e">
        <v>#N/A</v>
      </c>
      <c r="N362">
        <f>2000+RIGHT(Table1[[#This Row],[Release Date]],2)</f>
        <v>2004</v>
      </c>
      <c r="O362">
        <f>_xlfn.MAXIFS(Table1[[#This Row],[Total Shipped]]:Table1[[#This Row],[Total Sales]],Table1[[#This Row],[Total Shipped]]:Table1[[#This Row],[Total Sales]],"&lt;&gt;#N/A")</f>
        <v>4</v>
      </c>
      <c r="P362">
        <f>_xlfn.MAXIFS(Table1[[#This Row],[VGChartz Score]:[User Score]],Table1[[#This Row],[VGChartz Score]:[User Score]],"&lt;&gt;#N/A")</f>
        <v>8.8000000000000007</v>
      </c>
    </row>
    <row r="363" spans="1:16" hidden="1" x14ac:dyDescent="0.2">
      <c r="A363">
        <f t="shared" si="7"/>
        <v>362</v>
      </c>
      <c r="B363">
        <v>62</v>
      </c>
      <c r="C363" t="s">
        <v>138</v>
      </c>
      <c r="D363" t="s">
        <v>1449</v>
      </c>
      <c r="E363" t="s">
        <v>1305</v>
      </c>
      <c r="F363" t="s">
        <v>979</v>
      </c>
      <c r="G363" t="e">
        <v>#N/A</v>
      </c>
      <c r="H363" t="e">
        <v>#N/A</v>
      </c>
      <c r="I363" t="e">
        <v>#N/A</v>
      </c>
      <c r="J363" s="2">
        <v>4</v>
      </c>
      <c r="K363" s="2" t="e">
        <v>#N/A</v>
      </c>
      <c r="L363" t="s">
        <v>1450</v>
      </c>
      <c r="M363" t="e">
        <v>#N/A</v>
      </c>
      <c r="N363">
        <f>2000+RIGHT(Table1[[#This Row],[Release Date]],2)</f>
        <v>2099</v>
      </c>
      <c r="O363">
        <f>_xlfn.MAXIFS(Table1[[#This Row],[Total Shipped]]:Table1[[#This Row],[Total Sales]],Table1[[#This Row],[Total Shipped]]:Table1[[#This Row],[Total Sales]],"&lt;&gt;#N/A")</f>
        <v>4</v>
      </c>
      <c r="P363">
        <f>_xlfn.MAXIFS(Table1[[#This Row],[VGChartz Score]:[User Score]],Table1[[#This Row],[VGChartz Score]:[User Score]],"&lt;&gt;#N/A")</f>
        <v>0</v>
      </c>
    </row>
    <row r="364" spans="1:16" hidden="1" x14ac:dyDescent="0.2">
      <c r="A364">
        <f t="shared" si="7"/>
        <v>363</v>
      </c>
      <c r="B364">
        <v>63</v>
      </c>
      <c r="C364" t="s">
        <v>138</v>
      </c>
      <c r="D364" t="s">
        <v>1451</v>
      </c>
      <c r="E364" t="s">
        <v>1305</v>
      </c>
      <c r="F364" t="s">
        <v>392</v>
      </c>
      <c r="G364" t="e">
        <v>#N/A</v>
      </c>
      <c r="H364">
        <v>9.3000000000000007</v>
      </c>
      <c r="I364">
        <v>9.3000000000000007</v>
      </c>
      <c r="J364" s="1">
        <v>4</v>
      </c>
      <c r="K364" s="1" t="e">
        <v>#N/A</v>
      </c>
      <c r="L364" t="s">
        <v>1452</v>
      </c>
      <c r="M364" t="s">
        <v>1333</v>
      </c>
      <c r="N364">
        <f>2000+RIGHT(Table1[[#This Row],[Release Date]],2)</f>
        <v>2008</v>
      </c>
      <c r="O364">
        <f>_xlfn.MAXIFS(Table1[[#This Row],[Total Shipped]]:Table1[[#This Row],[Total Sales]],Table1[[#This Row],[Total Shipped]]:Table1[[#This Row],[Total Sales]],"&lt;&gt;#N/A")</f>
        <v>4</v>
      </c>
      <c r="P364">
        <f>_xlfn.MAXIFS(Table1[[#This Row],[VGChartz Score]:[User Score]],Table1[[#This Row],[VGChartz Score]:[User Score]],"&lt;&gt;#N/A")</f>
        <v>9.3000000000000007</v>
      </c>
    </row>
    <row r="365" spans="1:16" hidden="1" x14ac:dyDescent="0.2">
      <c r="A365">
        <f t="shared" si="7"/>
        <v>364</v>
      </c>
      <c r="B365">
        <v>64</v>
      </c>
      <c r="C365" t="s">
        <v>138</v>
      </c>
      <c r="D365" t="s">
        <v>1453</v>
      </c>
      <c r="E365" t="s">
        <v>1305</v>
      </c>
      <c r="F365" t="s">
        <v>1392</v>
      </c>
      <c r="G365" t="e">
        <v>#N/A</v>
      </c>
      <c r="H365">
        <v>7.1</v>
      </c>
      <c r="I365" t="e">
        <v>#N/A</v>
      </c>
      <c r="J365" s="2">
        <v>4</v>
      </c>
      <c r="K365" s="2" t="e">
        <v>#N/A</v>
      </c>
      <c r="L365" t="s">
        <v>1454</v>
      </c>
      <c r="M365" t="e">
        <v>#N/A</v>
      </c>
      <c r="N365">
        <f>2000+RIGHT(Table1[[#This Row],[Release Date]],2)</f>
        <v>2001</v>
      </c>
      <c r="O365">
        <f>_xlfn.MAXIFS(Table1[[#This Row],[Total Shipped]]:Table1[[#This Row],[Total Sales]],Table1[[#This Row],[Total Shipped]]:Table1[[#This Row],[Total Sales]],"&lt;&gt;#N/A")</f>
        <v>4</v>
      </c>
      <c r="P365">
        <f>_xlfn.MAXIFS(Table1[[#This Row],[VGChartz Score]:[User Score]],Table1[[#This Row],[VGChartz Score]:[User Score]],"&lt;&gt;#N/A")</f>
        <v>7.1</v>
      </c>
    </row>
    <row r="366" spans="1:16" hidden="1" x14ac:dyDescent="0.2">
      <c r="A366">
        <f t="shared" si="7"/>
        <v>365</v>
      </c>
      <c r="B366">
        <v>65</v>
      </c>
      <c r="C366" t="s">
        <v>138</v>
      </c>
      <c r="D366" t="s">
        <v>221</v>
      </c>
      <c r="E366" t="s">
        <v>1305</v>
      </c>
      <c r="F366" t="s">
        <v>222</v>
      </c>
      <c r="G366">
        <v>9.6999999999999993</v>
      </c>
      <c r="H366">
        <v>9.1999999999999993</v>
      </c>
      <c r="I366" t="e">
        <v>#N/A</v>
      </c>
      <c r="J366" s="1" t="e">
        <v>#N/A</v>
      </c>
      <c r="K366" s="1">
        <v>3.99</v>
      </c>
      <c r="L366" t="s">
        <v>567</v>
      </c>
      <c r="M366" t="s">
        <v>343</v>
      </c>
      <c r="N366">
        <f>2000+RIGHT(Table1[[#This Row],[Release Date]],2)</f>
        <v>2011</v>
      </c>
      <c r="O366">
        <f>_xlfn.MAXIFS(Table1[[#This Row],[Total Shipped]]:Table1[[#This Row],[Total Sales]],Table1[[#This Row],[Total Shipped]]:Table1[[#This Row],[Total Sales]],"&lt;&gt;#N/A")</f>
        <v>3.99</v>
      </c>
      <c r="P366">
        <f>_xlfn.MAXIFS(Table1[[#This Row],[VGChartz Score]:[User Score]],Table1[[#This Row],[VGChartz Score]:[User Score]],"&lt;&gt;#N/A")</f>
        <v>9.6999999999999993</v>
      </c>
    </row>
    <row r="367" spans="1:16" hidden="1" x14ac:dyDescent="0.2">
      <c r="A367">
        <f t="shared" si="7"/>
        <v>366</v>
      </c>
      <c r="B367">
        <v>66</v>
      </c>
      <c r="C367" t="s">
        <v>138</v>
      </c>
      <c r="D367" t="s">
        <v>1455</v>
      </c>
      <c r="E367" t="s">
        <v>1305</v>
      </c>
      <c r="F367" t="s">
        <v>324</v>
      </c>
      <c r="G367" t="e">
        <v>#N/A</v>
      </c>
      <c r="H367">
        <v>8.6999999999999993</v>
      </c>
      <c r="I367" t="e">
        <v>#N/A</v>
      </c>
      <c r="J367" s="2">
        <v>3.92</v>
      </c>
      <c r="K367" s="2" t="e">
        <v>#N/A</v>
      </c>
      <c r="L367" t="s">
        <v>1456</v>
      </c>
      <c r="M367" t="e">
        <v>#N/A</v>
      </c>
      <c r="N367">
        <f>2000+RIGHT(Table1[[#This Row],[Release Date]],2)</f>
        <v>2006</v>
      </c>
      <c r="O367">
        <f>_xlfn.MAXIFS(Table1[[#This Row],[Total Shipped]]:Table1[[#This Row],[Total Sales]],Table1[[#This Row],[Total Shipped]]:Table1[[#This Row],[Total Sales]],"&lt;&gt;#N/A")</f>
        <v>3.92</v>
      </c>
      <c r="P367">
        <f>_xlfn.MAXIFS(Table1[[#This Row],[VGChartz Score]:[User Score]],Table1[[#This Row],[VGChartz Score]:[User Score]],"&lt;&gt;#N/A")</f>
        <v>8.6999999999999993</v>
      </c>
    </row>
    <row r="368" spans="1:16" hidden="1" x14ac:dyDescent="0.2">
      <c r="A368">
        <f t="shared" si="7"/>
        <v>367</v>
      </c>
      <c r="B368">
        <v>67</v>
      </c>
      <c r="C368" t="s">
        <v>138</v>
      </c>
      <c r="D368" t="s">
        <v>1457</v>
      </c>
      <c r="E368" t="s">
        <v>1305</v>
      </c>
      <c r="F368" t="s">
        <v>324</v>
      </c>
      <c r="G368" t="e">
        <v>#N/A</v>
      </c>
      <c r="H368">
        <v>7.3</v>
      </c>
      <c r="I368" t="e">
        <v>#N/A</v>
      </c>
      <c r="J368" s="1" t="e">
        <v>#N/A</v>
      </c>
      <c r="K368" s="1">
        <v>3.76</v>
      </c>
      <c r="L368" t="s">
        <v>1458</v>
      </c>
      <c r="M368" t="e">
        <v>#N/A</v>
      </c>
      <c r="N368">
        <f>2000+RIGHT(Table1[[#This Row],[Release Date]],2)</f>
        <v>2002</v>
      </c>
      <c r="O368">
        <f>_xlfn.MAXIFS(Table1[[#This Row],[Total Shipped]]:Table1[[#This Row],[Total Sales]],Table1[[#This Row],[Total Shipped]]:Table1[[#This Row],[Total Sales]],"&lt;&gt;#N/A")</f>
        <v>3.76</v>
      </c>
      <c r="P368">
        <f>_xlfn.MAXIFS(Table1[[#This Row],[VGChartz Score]:[User Score]],Table1[[#This Row],[VGChartz Score]:[User Score]],"&lt;&gt;#N/A")</f>
        <v>7.3</v>
      </c>
    </row>
    <row r="369" spans="1:16" hidden="1" x14ac:dyDescent="0.2">
      <c r="A369">
        <f t="shared" si="7"/>
        <v>368</v>
      </c>
      <c r="B369">
        <v>68</v>
      </c>
      <c r="C369" t="s">
        <v>138</v>
      </c>
      <c r="D369" t="s">
        <v>1459</v>
      </c>
      <c r="E369" t="s">
        <v>1305</v>
      </c>
      <c r="F369" t="s">
        <v>392</v>
      </c>
      <c r="G369" t="e">
        <v>#N/A</v>
      </c>
      <c r="H369" t="e">
        <v>#N/A</v>
      </c>
      <c r="I369" t="e">
        <v>#N/A</v>
      </c>
      <c r="J369" s="2">
        <v>3.7</v>
      </c>
      <c r="K369" s="2" t="e">
        <v>#N/A</v>
      </c>
      <c r="L369" t="s">
        <v>1460</v>
      </c>
      <c r="M369" t="s">
        <v>1461</v>
      </c>
      <c r="N369">
        <f>2000+RIGHT(Table1[[#This Row],[Release Date]],2)</f>
        <v>2014</v>
      </c>
      <c r="O369">
        <f>_xlfn.MAXIFS(Table1[[#This Row],[Total Shipped]]:Table1[[#This Row],[Total Sales]],Table1[[#This Row],[Total Shipped]]:Table1[[#This Row],[Total Sales]],"&lt;&gt;#N/A")</f>
        <v>3.7</v>
      </c>
      <c r="P369">
        <f>_xlfn.MAXIFS(Table1[[#This Row],[VGChartz Score]:[User Score]],Table1[[#This Row],[VGChartz Score]:[User Score]],"&lt;&gt;#N/A")</f>
        <v>0</v>
      </c>
    </row>
    <row r="370" spans="1:16" hidden="1" x14ac:dyDescent="0.2">
      <c r="A370">
        <f t="shared" si="7"/>
        <v>369</v>
      </c>
      <c r="B370">
        <v>69</v>
      </c>
      <c r="C370" t="s">
        <v>138</v>
      </c>
      <c r="D370" t="s">
        <v>1462</v>
      </c>
      <c r="E370" t="s">
        <v>1305</v>
      </c>
      <c r="F370" t="s">
        <v>392</v>
      </c>
      <c r="G370" t="e">
        <v>#N/A</v>
      </c>
      <c r="H370" t="e">
        <v>#N/A</v>
      </c>
      <c r="I370" t="e">
        <v>#N/A</v>
      </c>
      <c r="J370" s="1">
        <v>3.7</v>
      </c>
      <c r="K370" s="1" t="e">
        <v>#N/A</v>
      </c>
      <c r="L370" t="s">
        <v>1463</v>
      </c>
      <c r="M370" t="s">
        <v>137</v>
      </c>
      <c r="N370">
        <f>2000+RIGHT(Table1[[#This Row],[Release Date]],2)</f>
        <v>2020</v>
      </c>
      <c r="O370">
        <f>_xlfn.MAXIFS(Table1[[#This Row],[Total Shipped]]:Table1[[#This Row],[Total Sales]],Table1[[#This Row],[Total Shipped]]:Table1[[#This Row],[Total Sales]],"&lt;&gt;#N/A")</f>
        <v>3.7</v>
      </c>
      <c r="P370">
        <f>_xlfn.MAXIFS(Table1[[#This Row],[VGChartz Score]:[User Score]],Table1[[#This Row],[VGChartz Score]:[User Score]],"&lt;&gt;#N/A")</f>
        <v>0</v>
      </c>
    </row>
    <row r="371" spans="1:16" hidden="1" x14ac:dyDescent="0.2">
      <c r="A371">
        <f t="shared" si="7"/>
        <v>370</v>
      </c>
      <c r="B371">
        <v>70</v>
      </c>
      <c r="C371" t="s">
        <v>138</v>
      </c>
      <c r="D371" t="s">
        <v>1464</v>
      </c>
      <c r="E371" t="s">
        <v>1305</v>
      </c>
      <c r="F371" t="s">
        <v>1465</v>
      </c>
      <c r="G371" t="e">
        <v>#N/A</v>
      </c>
      <c r="H371">
        <v>9.3000000000000007</v>
      </c>
      <c r="I371" t="e">
        <v>#N/A</v>
      </c>
      <c r="J371" s="2" t="e">
        <v>#N/A</v>
      </c>
      <c r="K371" s="2">
        <v>3.61</v>
      </c>
      <c r="L371" t="s">
        <v>1466</v>
      </c>
      <c r="M371" t="e">
        <v>#N/A</v>
      </c>
      <c r="N371">
        <f>2000+RIGHT(Table1[[#This Row],[Release Date]],2)</f>
        <v>2094</v>
      </c>
      <c r="O371">
        <f>_xlfn.MAXIFS(Table1[[#This Row],[Total Shipped]]:Table1[[#This Row],[Total Sales]],Table1[[#This Row],[Total Shipped]]:Table1[[#This Row],[Total Sales]],"&lt;&gt;#N/A")</f>
        <v>3.61</v>
      </c>
      <c r="P371">
        <f>_xlfn.MAXIFS(Table1[[#This Row],[VGChartz Score]:[User Score]],Table1[[#This Row],[VGChartz Score]:[User Score]],"&lt;&gt;#N/A")</f>
        <v>9.3000000000000007</v>
      </c>
    </row>
    <row r="372" spans="1:16" hidden="1" x14ac:dyDescent="0.2">
      <c r="A372">
        <f t="shared" si="7"/>
        <v>371</v>
      </c>
      <c r="B372">
        <v>71</v>
      </c>
      <c r="C372" t="s">
        <v>138</v>
      </c>
      <c r="D372" t="s">
        <v>1467</v>
      </c>
      <c r="E372" t="s">
        <v>1305</v>
      </c>
      <c r="F372" t="s">
        <v>1468</v>
      </c>
      <c r="G372" t="e">
        <v>#N/A</v>
      </c>
      <c r="H372" t="e">
        <v>#N/A</v>
      </c>
      <c r="I372" t="e">
        <v>#N/A</v>
      </c>
      <c r="J372" s="1">
        <v>3.61</v>
      </c>
      <c r="K372" s="1" t="e">
        <v>#N/A</v>
      </c>
      <c r="L372" t="s">
        <v>1469</v>
      </c>
      <c r="M372" t="s">
        <v>142</v>
      </c>
      <c r="N372">
        <f>2000+RIGHT(Table1[[#This Row],[Release Date]],2)</f>
        <v>2014</v>
      </c>
      <c r="O372">
        <f>_xlfn.MAXIFS(Table1[[#This Row],[Total Shipped]]:Table1[[#This Row],[Total Sales]],Table1[[#This Row],[Total Shipped]]:Table1[[#This Row],[Total Sales]],"&lt;&gt;#N/A")</f>
        <v>3.61</v>
      </c>
      <c r="P372">
        <f>_xlfn.MAXIFS(Table1[[#This Row],[VGChartz Score]:[User Score]],Table1[[#This Row],[VGChartz Score]:[User Score]],"&lt;&gt;#N/A")</f>
        <v>0</v>
      </c>
    </row>
    <row r="373" spans="1:16" hidden="1" x14ac:dyDescent="0.2">
      <c r="A373">
        <f t="shared" si="7"/>
        <v>372</v>
      </c>
      <c r="B373">
        <v>72</v>
      </c>
      <c r="C373" t="s">
        <v>138</v>
      </c>
      <c r="D373" t="s">
        <v>1470</v>
      </c>
      <c r="E373" t="s">
        <v>1305</v>
      </c>
      <c r="F373" t="s">
        <v>1471</v>
      </c>
      <c r="G373" t="e">
        <v>#N/A</v>
      </c>
      <c r="H373" t="e">
        <v>#N/A</v>
      </c>
      <c r="I373" t="e">
        <v>#N/A</v>
      </c>
      <c r="J373" s="2">
        <v>3.58</v>
      </c>
      <c r="K373" s="2" t="e">
        <v>#N/A</v>
      </c>
      <c r="L373" t="s">
        <v>526</v>
      </c>
      <c r="M373" t="s">
        <v>1201</v>
      </c>
      <c r="N373">
        <f>2000+RIGHT(Table1[[#This Row],[Release Date]],2)</f>
        <v>2015</v>
      </c>
      <c r="O373">
        <f>_xlfn.MAXIFS(Table1[[#This Row],[Total Shipped]]:Table1[[#This Row],[Total Sales]],Table1[[#This Row],[Total Shipped]]:Table1[[#This Row],[Total Sales]],"&lt;&gt;#N/A")</f>
        <v>3.58</v>
      </c>
      <c r="P373">
        <f>_xlfn.MAXIFS(Table1[[#This Row],[VGChartz Score]:[User Score]],Table1[[#This Row],[VGChartz Score]:[User Score]],"&lt;&gt;#N/A")</f>
        <v>0</v>
      </c>
    </row>
    <row r="374" spans="1:16" hidden="1" x14ac:dyDescent="0.2">
      <c r="A374">
        <f t="shared" si="7"/>
        <v>373</v>
      </c>
      <c r="B374">
        <v>73</v>
      </c>
      <c r="C374" t="s">
        <v>138</v>
      </c>
      <c r="D374" t="s">
        <v>1472</v>
      </c>
      <c r="E374" t="s">
        <v>1305</v>
      </c>
      <c r="F374" t="s">
        <v>392</v>
      </c>
      <c r="G374" t="e">
        <v>#N/A</v>
      </c>
      <c r="H374">
        <v>9.1999999999999993</v>
      </c>
      <c r="I374" t="e">
        <v>#N/A</v>
      </c>
      <c r="J374" s="1">
        <v>3.5</v>
      </c>
      <c r="K374" s="1" t="e">
        <v>#N/A</v>
      </c>
      <c r="L374" t="s">
        <v>1473</v>
      </c>
      <c r="M374" t="s">
        <v>1333</v>
      </c>
      <c r="N374">
        <f>2000+RIGHT(Table1[[#This Row],[Release Date]],2)</f>
        <v>2007</v>
      </c>
      <c r="O374">
        <f>_xlfn.MAXIFS(Table1[[#This Row],[Total Shipped]]:Table1[[#This Row],[Total Sales]],Table1[[#This Row],[Total Shipped]]:Table1[[#This Row],[Total Sales]],"&lt;&gt;#N/A")</f>
        <v>3.5</v>
      </c>
      <c r="P374">
        <f>_xlfn.MAXIFS(Table1[[#This Row],[VGChartz Score]:[User Score]],Table1[[#This Row],[VGChartz Score]:[User Score]],"&lt;&gt;#N/A")</f>
        <v>9.1999999999999993</v>
      </c>
    </row>
    <row r="375" spans="1:16" hidden="1" x14ac:dyDescent="0.2">
      <c r="A375">
        <f t="shared" si="7"/>
        <v>374</v>
      </c>
      <c r="B375">
        <v>74</v>
      </c>
      <c r="C375" t="s">
        <v>138</v>
      </c>
      <c r="D375" t="s">
        <v>504</v>
      </c>
      <c r="E375" t="s">
        <v>1305</v>
      </c>
      <c r="F375" t="s">
        <v>321</v>
      </c>
      <c r="G375" t="e">
        <v>#N/A</v>
      </c>
      <c r="H375" t="e">
        <v>#N/A</v>
      </c>
      <c r="I375" t="e">
        <v>#N/A</v>
      </c>
      <c r="J375" s="2">
        <v>3.47</v>
      </c>
      <c r="K375" s="2" t="e">
        <v>#N/A</v>
      </c>
      <c r="L375" t="s">
        <v>1474</v>
      </c>
      <c r="M375" t="s">
        <v>85</v>
      </c>
      <c r="N375">
        <f>2000+RIGHT(Table1[[#This Row],[Release Date]],2)</f>
        <v>2016</v>
      </c>
      <c r="O375">
        <f>_xlfn.MAXIFS(Table1[[#This Row],[Total Shipped]]:Table1[[#This Row],[Total Sales]],Table1[[#This Row],[Total Shipped]]:Table1[[#This Row],[Total Sales]],"&lt;&gt;#N/A")</f>
        <v>3.47</v>
      </c>
      <c r="P375">
        <f>_xlfn.MAXIFS(Table1[[#This Row],[VGChartz Score]:[User Score]],Table1[[#This Row],[VGChartz Score]:[User Score]],"&lt;&gt;#N/A")</f>
        <v>0</v>
      </c>
    </row>
    <row r="376" spans="1:16" hidden="1" x14ac:dyDescent="0.2">
      <c r="A376">
        <f t="shared" si="7"/>
        <v>375</v>
      </c>
      <c r="B376">
        <v>75</v>
      </c>
      <c r="C376" t="s">
        <v>138</v>
      </c>
      <c r="D376" t="s">
        <v>1475</v>
      </c>
      <c r="E376" t="s">
        <v>1305</v>
      </c>
      <c r="F376" t="s">
        <v>392</v>
      </c>
      <c r="G376" t="e">
        <v>#N/A</v>
      </c>
      <c r="H376" t="e">
        <v>#N/A</v>
      </c>
      <c r="I376" t="e">
        <v>#N/A</v>
      </c>
      <c r="J376" s="1">
        <v>3.4</v>
      </c>
      <c r="K376" s="1" t="e">
        <v>#N/A</v>
      </c>
      <c r="L376" t="s">
        <v>1476</v>
      </c>
      <c r="M376" t="s">
        <v>1477</v>
      </c>
      <c r="N376">
        <f>2000+RIGHT(Table1[[#This Row],[Release Date]],2)</f>
        <v>2018</v>
      </c>
      <c r="O376">
        <f>_xlfn.MAXIFS(Table1[[#This Row],[Total Shipped]]:Table1[[#This Row],[Total Sales]],Table1[[#This Row],[Total Shipped]]:Table1[[#This Row],[Total Sales]],"&lt;&gt;#N/A")</f>
        <v>3.4</v>
      </c>
      <c r="P376">
        <f>_xlfn.MAXIFS(Table1[[#This Row],[VGChartz Score]:[User Score]],Table1[[#This Row],[VGChartz Score]:[User Score]],"&lt;&gt;#N/A")</f>
        <v>0</v>
      </c>
    </row>
    <row r="377" spans="1:16" hidden="1" x14ac:dyDescent="0.2">
      <c r="A377">
        <f t="shared" si="7"/>
        <v>376</v>
      </c>
      <c r="B377">
        <v>76</v>
      </c>
      <c r="C377" t="s">
        <v>138</v>
      </c>
      <c r="D377" t="s">
        <v>300</v>
      </c>
      <c r="E377" t="s">
        <v>1305</v>
      </c>
      <c r="F377" t="s">
        <v>1478</v>
      </c>
      <c r="G377" t="e">
        <v>#N/A</v>
      </c>
      <c r="H377" t="e">
        <v>#N/A</v>
      </c>
      <c r="I377" t="e">
        <v>#N/A</v>
      </c>
      <c r="J377" s="2">
        <v>3.3</v>
      </c>
      <c r="K377" s="2" t="e">
        <v>#N/A</v>
      </c>
      <c r="L377" t="s">
        <v>1479</v>
      </c>
      <c r="M377" t="s">
        <v>137</v>
      </c>
      <c r="N377">
        <f>2000+RIGHT(Table1[[#This Row],[Release Date]],2)</f>
        <v>2020</v>
      </c>
      <c r="O377">
        <f>_xlfn.MAXIFS(Table1[[#This Row],[Total Shipped]]:Table1[[#This Row],[Total Sales]],Table1[[#This Row],[Total Shipped]]:Table1[[#This Row],[Total Sales]],"&lt;&gt;#N/A")</f>
        <v>3.3</v>
      </c>
      <c r="P377">
        <f>_xlfn.MAXIFS(Table1[[#This Row],[VGChartz Score]:[User Score]],Table1[[#This Row],[VGChartz Score]:[User Score]],"&lt;&gt;#N/A")</f>
        <v>0</v>
      </c>
    </row>
    <row r="378" spans="1:16" hidden="1" x14ac:dyDescent="0.2">
      <c r="A378">
        <f t="shared" si="7"/>
        <v>377</v>
      </c>
      <c r="B378">
        <v>77</v>
      </c>
      <c r="C378" t="s">
        <v>138</v>
      </c>
      <c r="D378" t="s">
        <v>1480</v>
      </c>
      <c r="E378" t="s">
        <v>1305</v>
      </c>
      <c r="F378" t="s">
        <v>392</v>
      </c>
      <c r="G378" t="e">
        <v>#N/A</v>
      </c>
      <c r="H378" t="e">
        <v>#N/A</v>
      </c>
      <c r="I378" t="e">
        <v>#N/A</v>
      </c>
      <c r="J378" s="1">
        <v>3.3</v>
      </c>
      <c r="K378" s="1" t="e">
        <v>#N/A</v>
      </c>
      <c r="L378" t="s">
        <v>1481</v>
      </c>
      <c r="M378" t="s">
        <v>1333</v>
      </c>
      <c r="N378">
        <f>2000+RIGHT(Table1[[#This Row],[Release Date]],2)</f>
        <v>2016</v>
      </c>
      <c r="O378">
        <f>_xlfn.MAXIFS(Table1[[#This Row],[Total Shipped]]:Table1[[#This Row],[Total Sales]],Table1[[#This Row],[Total Shipped]]:Table1[[#This Row],[Total Sales]],"&lt;&gt;#N/A")</f>
        <v>3.3</v>
      </c>
      <c r="P378">
        <f>_xlfn.MAXIFS(Table1[[#This Row],[VGChartz Score]:[User Score]],Table1[[#This Row],[VGChartz Score]:[User Score]],"&lt;&gt;#N/A")</f>
        <v>0</v>
      </c>
    </row>
    <row r="379" spans="1:16" hidden="1" x14ac:dyDescent="0.2">
      <c r="A379">
        <f t="shared" si="7"/>
        <v>378</v>
      </c>
      <c r="B379">
        <v>78</v>
      </c>
      <c r="C379" t="s">
        <v>138</v>
      </c>
      <c r="D379" t="s">
        <v>1482</v>
      </c>
      <c r="E379" t="s">
        <v>1305</v>
      </c>
      <c r="F379" t="s">
        <v>1483</v>
      </c>
      <c r="G379" t="e">
        <v>#N/A</v>
      </c>
      <c r="H379" t="e">
        <v>#N/A</v>
      </c>
      <c r="I379" t="e">
        <v>#N/A</v>
      </c>
      <c r="J379" s="2">
        <v>3.3</v>
      </c>
      <c r="K379" s="2" t="e">
        <v>#N/A</v>
      </c>
      <c r="L379" t="s">
        <v>1484</v>
      </c>
      <c r="M379" t="s">
        <v>1333</v>
      </c>
      <c r="N379">
        <f>2000+RIGHT(Table1[[#This Row],[Release Date]],2)</f>
        <v>2014</v>
      </c>
      <c r="O379">
        <f>_xlfn.MAXIFS(Table1[[#This Row],[Total Shipped]]:Table1[[#This Row],[Total Sales]],Table1[[#This Row],[Total Shipped]]:Table1[[#This Row],[Total Sales]],"&lt;&gt;#N/A")</f>
        <v>3.3</v>
      </c>
      <c r="P379">
        <f>_xlfn.MAXIFS(Table1[[#This Row],[VGChartz Score]:[User Score]],Table1[[#This Row],[VGChartz Score]:[User Score]],"&lt;&gt;#N/A")</f>
        <v>0</v>
      </c>
    </row>
    <row r="380" spans="1:16" hidden="1" x14ac:dyDescent="0.2">
      <c r="A380">
        <f t="shared" si="7"/>
        <v>379</v>
      </c>
      <c r="B380">
        <v>79</v>
      </c>
      <c r="C380" t="s">
        <v>138</v>
      </c>
      <c r="D380" t="s">
        <v>438</v>
      </c>
      <c r="E380" t="s">
        <v>1305</v>
      </c>
      <c r="F380" t="s">
        <v>175</v>
      </c>
      <c r="G380" t="e">
        <v>#N/A</v>
      </c>
      <c r="H380" t="e">
        <v>#N/A</v>
      </c>
      <c r="I380" t="e">
        <v>#N/A</v>
      </c>
      <c r="J380" s="1">
        <v>3.29</v>
      </c>
      <c r="K380" s="1" t="e">
        <v>#N/A</v>
      </c>
      <c r="L380" t="s">
        <v>1485</v>
      </c>
      <c r="M380" t="s">
        <v>145</v>
      </c>
      <c r="N380">
        <f>2000+RIGHT(Table1[[#This Row],[Release Date]],2)</f>
        <v>2016</v>
      </c>
      <c r="O380">
        <f>_xlfn.MAXIFS(Table1[[#This Row],[Total Shipped]]:Table1[[#This Row],[Total Sales]],Table1[[#This Row],[Total Shipped]]:Table1[[#This Row],[Total Sales]],"&lt;&gt;#N/A")</f>
        <v>3.29</v>
      </c>
      <c r="P380">
        <f>_xlfn.MAXIFS(Table1[[#This Row],[VGChartz Score]:[User Score]],Table1[[#This Row],[VGChartz Score]:[User Score]],"&lt;&gt;#N/A")</f>
        <v>0</v>
      </c>
    </row>
    <row r="381" spans="1:16" hidden="1" x14ac:dyDescent="0.2">
      <c r="A381">
        <f t="shared" si="7"/>
        <v>380</v>
      </c>
      <c r="B381">
        <v>80</v>
      </c>
      <c r="C381" t="s">
        <v>138</v>
      </c>
      <c r="D381" t="s">
        <v>1486</v>
      </c>
      <c r="E381" t="s">
        <v>1305</v>
      </c>
      <c r="F381" t="s">
        <v>175</v>
      </c>
      <c r="G381" t="e">
        <v>#N/A</v>
      </c>
      <c r="H381" t="e">
        <v>#N/A</v>
      </c>
      <c r="I381" t="e">
        <v>#N/A</v>
      </c>
      <c r="J381" s="2">
        <v>3.29</v>
      </c>
      <c r="K381" s="2" t="e">
        <v>#N/A</v>
      </c>
      <c r="L381" t="s">
        <v>1487</v>
      </c>
      <c r="M381" t="s">
        <v>1416</v>
      </c>
      <c r="N381">
        <f>2000+RIGHT(Table1[[#This Row],[Release Date]],2)</f>
        <v>2012</v>
      </c>
      <c r="O381">
        <f>_xlfn.MAXIFS(Table1[[#This Row],[Total Shipped]]:Table1[[#This Row],[Total Sales]],Table1[[#This Row],[Total Shipped]]:Table1[[#This Row],[Total Sales]],"&lt;&gt;#N/A")</f>
        <v>3.29</v>
      </c>
      <c r="P381">
        <f>_xlfn.MAXIFS(Table1[[#This Row],[VGChartz Score]:[User Score]],Table1[[#This Row],[VGChartz Score]:[User Score]],"&lt;&gt;#N/A")</f>
        <v>0</v>
      </c>
    </row>
    <row r="382" spans="1:16" hidden="1" x14ac:dyDescent="0.2">
      <c r="A382">
        <f t="shared" si="7"/>
        <v>381</v>
      </c>
      <c r="B382">
        <v>81</v>
      </c>
      <c r="C382" t="s">
        <v>138</v>
      </c>
      <c r="D382" t="s">
        <v>1488</v>
      </c>
      <c r="E382" t="s">
        <v>1305</v>
      </c>
      <c r="F382" t="s">
        <v>1489</v>
      </c>
      <c r="G382" t="e">
        <v>#N/A</v>
      </c>
      <c r="H382">
        <v>9.1</v>
      </c>
      <c r="I382" t="e">
        <v>#N/A</v>
      </c>
      <c r="J382" s="1">
        <v>3.28</v>
      </c>
      <c r="K382" s="1" t="e">
        <v>#N/A</v>
      </c>
      <c r="L382" t="s">
        <v>1490</v>
      </c>
      <c r="M382" t="e">
        <v>#N/A</v>
      </c>
      <c r="N382">
        <f>2000+RIGHT(Table1[[#This Row],[Release Date]],2)</f>
        <v>2007</v>
      </c>
      <c r="O382">
        <f>_xlfn.MAXIFS(Table1[[#This Row],[Total Shipped]]:Table1[[#This Row],[Total Sales]],Table1[[#This Row],[Total Shipped]]:Table1[[#This Row],[Total Sales]],"&lt;&gt;#N/A")</f>
        <v>3.28</v>
      </c>
      <c r="P382">
        <f>_xlfn.MAXIFS(Table1[[#This Row],[VGChartz Score]:[User Score]],Table1[[#This Row],[VGChartz Score]:[User Score]],"&lt;&gt;#N/A")</f>
        <v>9.1</v>
      </c>
    </row>
    <row r="383" spans="1:16" hidden="1" x14ac:dyDescent="0.2">
      <c r="A383">
        <f t="shared" si="7"/>
        <v>382</v>
      </c>
      <c r="B383">
        <v>82</v>
      </c>
      <c r="C383" t="s">
        <v>138</v>
      </c>
      <c r="D383" t="s">
        <v>1491</v>
      </c>
      <c r="E383" t="s">
        <v>1305</v>
      </c>
      <c r="F383" t="s">
        <v>240</v>
      </c>
      <c r="G383" t="e">
        <v>#N/A</v>
      </c>
      <c r="H383">
        <v>8.6</v>
      </c>
      <c r="I383" t="e">
        <v>#N/A</v>
      </c>
      <c r="J383" s="2">
        <v>3.21</v>
      </c>
      <c r="K383" s="2" t="e">
        <v>#N/A</v>
      </c>
      <c r="L383" t="s">
        <v>1492</v>
      </c>
      <c r="M383" t="s">
        <v>423</v>
      </c>
      <c r="N383">
        <f>2000+RIGHT(Table1[[#This Row],[Release Date]],2)</f>
        <v>2019</v>
      </c>
      <c r="O383">
        <f>_xlfn.MAXIFS(Table1[[#This Row],[Total Shipped]]:Table1[[#This Row],[Total Sales]],Table1[[#This Row],[Total Shipped]]:Table1[[#This Row],[Total Sales]],"&lt;&gt;#N/A")</f>
        <v>3.21</v>
      </c>
      <c r="P383">
        <f>_xlfn.MAXIFS(Table1[[#This Row],[VGChartz Score]:[User Score]],Table1[[#This Row],[VGChartz Score]:[User Score]],"&lt;&gt;#N/A")</f>
        <v>8.6</v>
      </c>
    </row>
    <row r="384" spans="1:16" hidden="1" x14ac:dyDescent="0.2">
      <c r="A384">
        <f t="shared" si="7"/>
        <v>383</v>
      </c>
      <c r="B384">
        <v>83</v>
      </c>
      <c r="C384" t="s">
        <v>138</v>
      </c>
      <c r="D384" t="s">
        <v>271</v>
      </c>
      <c r="E384" t="s">
        <v>1305</v>
      </c>
      <c r="F384" t="s">
        <v>151</v>
      </c>
      <c r="G384" t="e">
        <v>#N/A</v>
      </c>
      <c r="H384">
        <v>8</v>
      </c>
      <c r="I384" t="e">
        <v>#N/A</v>
      </c>
      <c r="J384" s="1">
        <v>3.2</v>
      </c>
      <c r="K384" s="1" t="e">
        <v>#N/A</v>
      </c>
      <c r="L384" t="s">
        <v>1493</v>
      </c>
      <c r="M384" t="e">
        <v>#N/A</v>
      </c>
      <c r="N384">
        <f>2000+RIGHT(Table1[[#This Row],[Release Date]],2)</f>
        <v>2007</v>
      </c>
      <c r="O384">
        <f>_xlfn.MAXIFS(Table1[[#This Row],[Total Shipped]]:Table1[[#This Row],[Total Sales]],Table1[[#This Row],[Total Shipped]]:Table1[[#This Row],[Total Sales]],"&lt;&gt;#N/A")</f>
        <v>3.2</v>
      </c>
      <c r="P384">
        <f>_xlfn.MAXIFS(Table1[[#This Row],[VGChartz Score]:[User Score]],Table1[[#This Row],[VGChartz Score]:[User Score]],"&lt;&gt;#N/A")</f>
        <v>8</v>
      </c>
    </row>
    <row r="385" spans="1:16" hidden="1" x14ac:dyDescent="0.2">
      <c r="A385">
        <f t="shared" si="7"/>
        <v>384</v>
      </c>
      <c r="B385">
        <v>84</v>
      </c>
      <c r="C385" t="s">
        <v>138</v>
      </c>
      <c r="D385" t="s">
        <v>1494</v>
      </c>
      <c r="E385" t="s">
        <v>1305</v>
      </c>
      <c r="F385" t="s">
        <v>324</v>
      </c>
      <c r="G385" t="e">
        <v>#N/A</v>
      </c>
      <c r="H385" t="e">
        <v>#N/A</v>
      </c>
      <c r="I385" t="e">
        <v>#N/A</v>
      </c>
      <c r="J385" s="2" t="e">
        <v>#N/A</v>
      </c>
      <c r="K385" s="2">
        <v>3.07</v>
      </c>
      <c r="L385" t="s">
        <v>1495</v>
      </c>
      <c r="M385" t="e">
        <v>#N/A</v>
      </c>
      <c r="N385">
        <f>2000+RIGHT(Table1[[#This Row],[Release Date]],2)</f>
        <v>2002</v>
      </c>
      <c r="O385">
        <f>_xlfn.MAXIFS(Table1[[#This Row],[Total Shipped]]:Table1[[#This Row],[Total Sales]],Table1[[#This Row],[Total Shipped]]:Table1[[#This Row],[Total Sales]],"&lt;&gt;#N/A")</f>
        <v>3.07</v>
      </c>
      <c r="P385">
        <f>_xlfn.MAXIFS(Table1[[#This Row],[VGChartz Score]:[User Score]],Table1[[#This Row],[VGChartz Score]:[User Score]],"&lt;&gt;#N/A")</f>
        <v>0</v>
      </c>
    </row>
    <row r="386" spans="1:16" hidden="1" x14ac:dyDescent="0.2">
      <c r="A386">
        <f t="shared" si="7"/>
        <v>385</v>
      </c>
      <c r="B386">
        <v>85</v>
      </c>
      <c r="C386" t="s">
        <v>138</v>
      </c>
      <c r="D386" t="s">
        <v>1496</v>
      </c>
      <c r="E386" t="s">
        <v>1305</v>
      </c>
      <c r="F386" t="s">
        <v>1392</v>
      </c>
      <c r="G386" t="e">
        <v>#N/A</v>
      </c>
      <c r="H386" t="e">
        <v>#N/A</v>
      </c>
      <c r="I386" t="e">
        <v>#N/A</v>
      </c>
      <c r="J386" s="1">
        <v>3</v>
      </c>
      <c r="K386" s="1" t="e">
        <v>#N/A</v>
      </c>
      <c r="L386" t="s">
        <v>1497</v>
      </c>
      <c r="M386" t="e">
        <v>#N/A</v>
      </c>
      <c r="N386">
        <f>2000+RIGHT(Table1[[#This Row],[Release Date]],2)</f>
        <v>2097</v>
      </c>
      <c r="O386">
        <f>_xlfn.MAXIFS(Table1[[#This Row],[Total Shipped]]:Table1[[#This Row],[Total Sales]],Table1[[#This Row],[Total Shipped]]:Table1[[#This Row],[Total Sales]],"&lt;&gt;#N/A")</f>
        <v>3</v>
      </c>
      <c r="P386">
        <f>_xlfn.MAXIFS(Table1[[#This Row],[VGChartz Score]:[User Score]],Table1[[#This Row],[VGChartz Score]:[User Score]],"&lt;&gt;#N/A")</f>
        <v>0</v>
      </c>
    </row>
    <row r="387" spans="1:16" hidden="1" x14ac:dyDescent="0.2">
      <c r="A387">
        <f t="shared" si="7"/>
        <v>386</v>
      </c>
      <c r="B387">
        <v>86</v>
      </c>
      <c r="C387" t="s">
        <v>138</v>
      </c>
      <c r="D387" t="s">
        <v>1498</v>
      </c>
      <c r="E387" t="s">
        <v>1305</v>
      </c>
      <c r="F387" t="s">
        <v>324</v>
      </c>
      <c r="G387" t="e">
        <v>#N/A</v>
      </c>
      <c r="H387">
        <v>9.1999999999999993</v>
      </c>
      <c r="I387">
        <v>8.5</v>
      </c>
      <c r="J387" s="2">
        <v>3</v>
      </c>
      <c r="K387" s="2" t="e">
        <v>#N/A</v>
      </c>
      <c r="L387" t="s">
        <v>593</v>
      </c>
      <c r="M387" t="e">
        <v>#N/A</v>
      </c>
      <c r="N387">
        <f>2000+RIGHT(Table1[[#This Row],[Release Date]],2)</f>
        <v>2007</v>
      </c>
      <c r="O387">
        <f>_xlfn.MAXIFS(Table1[[#This Row],[Total Shipped]]:Table1[[#This Row],[Total Sales]],Table1[[#This Row],[Total Shipped]]:Table1[[#This Row],[Total Sales]],"&lt;&gt;#N/A")</f>
        <v>3</v>
      </c>
      <c r="P387">
        <f>_xlfn.MAXIFS(Table1[[#This Row],[VGChartz Score]:[User Score]],Table1[[#This Row],[VGChartz Score]:[User Score]],"&lt;&gt;#N/A")</f>
        <v>9.1999999999999993</v>
      </c>
    </row>
    <row r="388" spans="1:16" hidden="1" x14ac:dyDescent="0.2">
      <c r="A388">
        <f t="shared" si="7"/>
        <v>387</v>
      </c>
      <c r="B388">
        <v>87</v>
      </c>
      <c r="C388" t="s">
        <v>138</v>
      </c>
      <c r="D388" t="s">
        <v>1499</v>
      </c>
      <c r="E388" t="s">
        <v>1305</v>
      </c>
      <c r="F388" t="s">
        <v>222</v>
      </c>
      <c r="G388">
        <v>9.1</v>
      </c>
      <c r="H388" t="e">
        <v>#N/A</v>
      </c>
      <c r="I388" t="e">
        <v>#N/A</v>
      </c>
      <c r="J388" s="1">
        <v>3</v>
      </c>
      <c r="K388" s="1" t="e">
        <v>#N/A</v>
      </c>
      <c r="L388" t="s">
        <v>1500</v>
      </c>
      <c r="M388" t="s">
        <v>123</v>
      </c>
      <c r="N388">
        <f>2000+RIGHT(Table1[[#This Row],[Release Date]],2)</f>
        <v>2013</v>
      </c>
      <c r="O388">
        <f>_xlfn.MAXIFS(Table1[[#This Row],[Total Shipped]]:Table1[[#This Row],[Total Sales]],Table1[[#This Row],[Total Shipped]]:Table1[[#This Row],[Total Sales]],"&lt;&gt;#N/A")</f>
        <v>3</v>
      </c>
      <c r="P388">
        <f>_xlfn.MAXIFS(Table1[[#This Row],[VGChartz Score]:[User Score]],Table1[[#This Row],[VGChartz Score]:[User Score]],"&lt;&gt;#N/A")</f>
        <v>9.1</v>
      </c>
    </row>
    <row r="389" spans="1:16" hidden="1" x14ac:dyDescent="0.2">
      <c r="A389">
        <f t="shared" si="7"/>
        <v>388</v>
      </c>
      <c r="B389">
        <v>88</v>
      </c>
      <c r="C389" t="s">
        <v>138</v>
      </c>
      <c r="D389" t="s">
        <v>1501</v>
      </c>
      <c r="E389" t="s">
        <v>1305</v>
      </c>
      <c r="F389" t="s">
        <v>1502</v>
      </c>
      <c r="G389" t="e">
        <v>#N/A</v>
      </c>
      <c r="H389" t="e">
        <v>#N/A</v>
      </c>
      <c r="I389" t="e">
        <v>#N/A</v>
      </c>
      <c r="J389" s="2">
        <v>3</v>
      </c>
      <c r="K389" s="2" t="e">
        <v>#N/A</v>
      </c>
      <c r="L389" t="s">
        <v>1503</v>
      </c>
      <c r="M389" t="s">
        <v>1504</v>
      </c>
      <c r="N389">
        <f>2000+RIGHT(Table1[[#This Row],[Release Date]],2)</f>
        <v>2024</v>
      </c>
      <c r="O389">
        <f>_xlfn.MAXIFS(Table1[[#This Row],[Total Shipped]]:Table1[[#This Row],[Total Sales]],Table1[[#This Row],[Total Shipped]]:Table1[[#This Row],[Total Sales]],"&lt;&gt;#N/A")</f>
        <v>3</v>
      </c>
      <c r="P389">
        <f>_xlfn.MAXIFS(Table1[[#This Row],[VGChartz Score]:[User Score]],Table1[[#This Row],[VGChartz Score]:[User Score]],"&lt;&gt;#N/A")</f>
        <v>0</v>
      </c>
    </row>
    <row r="390" spans="1:16" hidden="1" x14ac:dyDescent="0.2">
      <c r="A390">
        <f t="shared" si="7"/>
        <v>389</v>
      </c>
      <c r="B390">
        <v>89</v>
      </c>
      <c r="C390" t="s">
        <v>138</v>
      </c>
      <c r="D390" t="s">
        <v>1505</v>
      </c>
      <c r="E390" t="s">
        <v>1305</v>
      </c>
      <c r="F390" t="s">
        <v>484</v>
      </c>
      <c r="G390" t="e">
        <v>#N/A</v>
      </c>
      <c r="H390">
        <v>9.4</v>
      </c>
      <c r="I390" t="e">
        <v>#N/A</v>
      </c>
      <c r="J390" s="1">
        <v>3</v>
      </c>
      <c r="K390" s="1" t="e">
        <v>#N/A</v>
      </c>
      <c r="L390" t="s">
        <v>769</v>
      </c>
      <c r="M390" t="e">
        <v>#N/A</v>
      </c>
      <c r="N390">
        <f>2000+RIGHT(Table1[[#This Row],[Release Date]],2)</f>
        <v>2005</v>
      </c>
      <c r="O390">
        <f>_xlfn.MAXIFS(Table1[[#This Row],[Total Shipped]]:Table1[[#This Row],[Total Sales]],Table1[[#This Row],[Total Shipped]]:Table1[[#This Row],[Total Sales]],"&lt;&gt;#N/A")</f>
        <v>3</v>
      </c>
      <c r="P390">
        <f>_xlfn.MAXIFS(Table1[[#This Row],[VGChartz Score]:[User Score]],Table1[[#This Row],[VGChartz Score]:[User Score]],"&lt;&gt;#N/A")</f>
        <v>9.4</v>
      </c>
    </row>
    <row r="391" spans="1:16" hidden="1" x14ac:dyDescent="0.2">
      <c r="A391">
        <f t="shared" si="7"/>
        <v>390</v>
      </c>
      <c r="B391">
        <v>90</v>
      </c>
      <c r="C391" t="s">
        <v>138</v>
      </c>
      <c r="D391" t="s">
        <v>1506</v>
      </c>
      <c r="E391" t="s">
        <v>1305</v>
      </c>
      <c r="F391" t="s">
        <v>1507</v>
      </c>
      <c r="G391" t="e">
        <v>#N/A</v>
      </c>
      <c r="H391" t="e">
        <v>#N/A</v>
      </c>
      <c r="I391" t="e">
        <v>#N/A</v>
      </c>
      <c r="J391" s="2">
        <v>3</v>
      </c>
      <c r="K391" s="2" t="e">
        <v>#N/A</v>
      </c>
      <c r="L391" t="s">
        <v>1508</v>
      </c>
      <c r="M391" t="s">
        <v>1509</v>
      </c>
      <c r="N391">
        <f>2000+RIGHT(Table1[[#This Row],[Release Date]],2)</f>
        <v>2019</v>
      </c>
      <c r="O391">
        <f>_xlfn.MAXIFS(Table1[[#This Row],[Total Shipped]]:Table1[[#This Row],[Total Sales]],Table1[[#This Row],[Total Shipped]]:Table1[[#This Row],[Total Sales]],"&lt;&gt;#N/A")</f>
        <v>3</v>
      </c>
      <c r="P391">
        <f>_xlfn.MAXIFS(Table1[[#This Row],[VGChartz Score]:[User Score]],Table1[[#This Row],[VGChartz Score]:[User Score]],"&lt;&gt;#N/A")</f>
        <v>0</v>
      </c>
    </row>
    <row r="392" spans="1:16" hidden="1" x14ac:dyDescent="0.2">
      <c r="A392">
        <f t="shared" si="7"/>
        <v>391</v>
      </c>
      <c r="B392">
        <v>91</v>
      </c>
      <c r="C392" t="s">
        <v>138</v>
      </c>
      <c r="D392" t="s">
        <v>1510</v>
      </c>
      <c r="E392" t="s">
        <v>1305</v>
      </c>
      <c r="F392" t="s">
        <v>1511</v>
      </c>
      <c r="G392" t="e">
        <v>#N/A</v>
      </c>
      <c r="H392" t="e">
        <v>#N/A</v>
      </c>
      <c r="I392" t="e">
        <v>#N/A</v>
      </c>
      <c r="J392" s="1">
        <v>3</v>
      </c>
      <c r="K392" s="1" t="e">
        <v>#N/A</v>
      </c>
      <c r="L392" t="s">
        <v>1512</v>
      </c>
      <c r="M392" t="s">
        <v>1513</v>
      </c>
      <c r="N392">
        <f>2000+RIGHT(Table1[[#This Row],[Release Date]],2)</f>
        <v>2015</v>
      </c>
      <c r="O392">
        <f>_xlfn.MAXIFS(Table1[[#This Row],[Total Shipped]]:Table1[[#This Row],[Total Sales]],Table1[[#This Row],[Total Shipped]]:Table1[[#This Row],[Total Sales]],"&lt;&gt;#N/A")</f>
        <v>3</v>
      </c>
      <c r="P392">
        <f>_xlfn.MAXIFS(Table1[[#This Row],[VGChartz Score]:[User Score]],Table1[[#This Row],[VGChartz Score]:[User Score]],"&lt;&gt;#N/A")</f>
        <v>0</v>
      </c>
    </row>
    <row r="393" spans="1:16" hidden="1" x14ac:dyDescent="0.2">
      <c r="A393">
        <f t="shared" si="7"/>
        <v>392</v>
      </c>
      <c r="B393">
        <v>92</v>
      </c>
      <c r="C393" t="s">
        <v>138</v>
      </c>
      <c r="D393" t="s">
        <v>1514</v>
      </c>
      <c r="E393" t="s">
        <v>1305</v>
      </c>
      <c r="F393" t="s">
        <v>1515</v>
      </c>
      <c r="G393" t="e">
        <v>#N/A</v>
      </c>
      <c r="H393" t="e">
        <v>#N/A</v>
      </c>
      <c r="I393" t="e">
        <v>#N/A</v>
      </c>
      <c r="J393" s="2">
        <v>3</v>
      </c>
      <c r="K393" s="2" t="e">
        <v>#N/A</v>
      </c>
      <c r="L393" t="s">
        <v>1516</v>
      </c>
      <c r="M393" t="e">
        <v>#N/A</v>
      </c>
      <c r="N393">
        <f>2000+RIGHT(Table1[[#This Row],[Release Date]],2)</f>
        <v>2012</v>
      </c>
      <c r="O393">
        <f>_xlfn.MAXIFS(Table1[[#This Row],[Total Shipped]]:Table1[[#This Row],[Total Sales]],Table1[[#This Row],[Total Shipped]]:Table1[[#This Row],[Total Sales]],"&lt;&gt;#N/A")</f>
        <v>3</v>
      </c>
      <c r="P393">
        <f>_xlfn.MAXIFS(Table1[[#This Row],[VGChartz Score]:[User Score]],Table1[[#This Row],[VGChartz Score]:[User Score]],"&lt;&gt;#N/A")</f>
        <v>0</v>
      </c>
    </row>
    <row r="394" spans="1:16" hidden="1" x14ac:dyDescent="0.2">
      <c r="A394">
        <f t="shared" si="7"/>
        <v>393</v>
      </c>
      <c r="B394">
        <v>93</v>
      </c>
      <c r="C394" t="s">
        <v>138</v>
      </c>
      <c r="D394" t="s">
        <v>1517</v>
      </c>
      <c r="E394" t="s">
        <v>1305</v>
      </c>
      <c r="F394" t="s">
        <v>392</v>
      </c>
      <c r="G394" t="e">
        <v>#N/A</v>
      </c>
      <c r="H394">
        <v>9.3000000000000007</v>
      </c>
      <c r="I394" t="e">
        <v>#N/A</v>
      </c>
      <c r="J394" s="1">
        <v>3</v>
      </c>
      <c r="K394" s="1" t="e">
        <v>#N/A</v>
      </c>
      <c r="L394" t="s">
        <v>1518</v>
      </c>
      <c r="M394" t="e">
        <v>#N/A</v>
      </c>
      <c r="N394">
        <f>2000+RIGHT(Table1[[#This Row],[Release Date]],2)</f>
        <v>2096</v>
      </c>
      <c r="O394">
        <f>_xlfn.MAXIFS(Table1[[#This Row],[Total Shipped]]:Table1[[#This Row],[Total Sales]],Table1[[#This Row],[Total Shipped]]:Table1[[#This Row],[Total Sales]],"&lt;&gt;#N/A")</f>
        <v>3</v>
      </c>
      <c r="P394">
        <f>_xlfn.MAXIFS(Table1[[#This Row],[VGChartz Score]:[User Score]],Table1[[#This Row],[VGChartz Score]:[User Score]],"&lt;&gt;#N/A")</f>
        <v>9.3000000000000007</v>
      </c>
    </row>
    <row r="395" spans="1:16" hidden="1" x14ac:dyDescent="0.2">
      <c r="A395">
        <f t="shared" si="7"/>
        <v>394</v>
      </c>
      <c r="B395">
        <v>94</v>
      </c>
      <c r="C395" t="s">
        <v>138</v>
      </c>
      <c r="D395" t="s">
        <v>1517</v>
      </c>
      <c r="E395" t="s">
        <v>1305</v>
      </c>
      <c r="F395" t="s">
        <v>392</v>
      </c>
      <c r="G395" t="e">
        <v>#N/A</v>
      </c>
      <c r="H395" t="e">
        <v>#N/A</v>
      </c>
      <c r="I395" t="e">
        <v>#N/A</v>
      </c>
      <c r="J395" s="2">
        <v>3</v>
      </c>
      <c r="K395" s="2" t="e">
        <v>#N/A</v>
      </c>
      <c r="L395" t="s">
        <v>1519</v>
      </c>
      <c r="M395" t="e">
        <v>#N/A</v>
      </c>
      <c r="N395">
        <f>2000+RIGHT(Table1[[#This Row],[Release Date]],2)</f>
        <v>2095</v>
      </c>
      <c r="O395">
        <f>_xlfn.MAXIFS(Table1[[#This Row],[Total Shipped]]:Table1[[#This Row],[Total Sales]],Table1[[#This Row],[Total Shipped]]:Table1[[#This Row],[Total Sales]],"&lt;&gt;#N/A")</f>
        <v>3</v>
      </c>
      <c r="P395">
        <f>_xlfn.MAXIFS(Table1[[#This Row],[VGChartz Score]:[User Score]],Table1[[#This Row],[VGChartz Score]:[User Score]],"&lt;&gt;#N/A")</f>
        <v>0</v>
      </c>
    </row>
    <row r="396" spans="1:16" hidden="1" x14ac:dyDescent="0.2">
      <c r="A396">
        <f t="shared" si="7"/>
        <v>395</v>
      </c>
      <c r="B396">
        <v>95</v>
      </c>
      <c r="C396" t="s">
        <v>138</v>
      </c>
      <c r="D396" t="s">
        <v>1520</v>
      </c>
      <c r="E396" t="s">
        <v>1305</v>
      </c>
      <c r="F396" t="s">
        <v>324</v>
      </c>
      <c r="G396" t="e">
        <v>#N/A</v>
      </c>
      <c r="H396" t="e">
        <v>#N/A</v>
      </c>
      <c r="I396" t="e">
        <v>#N/A</v>
      </c>
      <c r="J396" s="1" t="e">
        <v>#N/A</v>
      </c>
      <c r="K396" s="1">
        <v>2.99</v>
      </c>
      <c r="L396" t="s">
        <v>1521</v>
      </c>
      <c r="M396" t="e">
        <v>#N/A</v>
      </c>
      <c r="N396">
        <f>2000+RIGHT(Table1[[#This Row],[Release Date]],2)</f>
        <v>2000</v>
      </c>
      <c r="O396">
        <f>_xlfn.MAXIFS(Table1[[#This Row],[Total Shipped]]:Table1[[#This Row],[Total Sales]],Table1[[#This Row],[Total Shipped]]:Table1[[#This Row],[Total Sales]],"&lt;&gt;#N/A")</f>
        <v>2.99</v>
      </c>
      <c r="P396">
        <f>_xlfn.MAXIFS(Table1[[#This Row],[VGChartz Score]:[User Score]],Table1[[#This Row],[VGChartz Score]:[User Score]],"&lt;&gt;#N/A")</f>
        <v>0</v>
      </c>
    </row>
    <row r="397" spans="1:16" hidden="1" x14ac:dyDescent="0.2">
      <c r="A397">
        <f t="shared" si="7"/>
        <v>396</v>
      </c>
      <c r="B397">
        <v>96</v>
      </c>
      <c r="C397" t="s">
        <v>138</v>
      </c>
      <c r="D397" t="s">
        <v>1522</v>
      </c>
      <c r="E397" t="s">
        <v>1305</v>
      </c>
      <c r="F397" t="s">
        <v>1523</v>
      </c>
      <c r="G397" t="e">
        <v>#N/A</v>
      </c>
      <c r="H397">
        <v>9.1999999999999993</v>
      </c>
      <c r="I397" t="e">
        <v>#N/A</v>
      </c>
      <c r="J397" s="2">
        <v>2.97</v>
      </c>
      <c r="K397" s="2" t="e">
        <v>#N/A</v>
      </c>
      <c r="L397" t="s">
        <v>1524</v>
      </c>
      <c r="M397" t="e">
        <v>#N/A</v>
      </c>
      <c r="N397">
        <f>2000+RIGHT(Table1[[#This Row],[Release Date]],2)</f>
        <v>2010</v>
      </c>
      <c r="O397">
        <f>_xlfn.MAXIFS(Table1[[#This Row],[Total Shipped]]:Table1[[#This Row],[Total Sales]],Table1[[#This Row],[Total Shipped]]:Table1[[#This Row],[Total Sales]],"&lt;&gt;#N/A")</f>
        <v>2.97</v>
      </c>
      <c r="P397">
        <f>_xlfn.MAXIFS(Table1[[#This Row],[VGChartz Score]:[User Score]],Table1[[#This Row],[VGChartz Score]:[User Score]],"&lt;&gt;#N/A")</f>
        <v>9.1999999999999993</v>
      </c>
    </row>
    <row r="398" spans="1:16" hidden="1" x14ac:dyDescent="0.2">
      <c r="A398">
        <f t="shared" si="7"/>
        <v>397</v>
      </c>
      <c r="B398">
        <v>97</v>
      </c>
      <c r="C398" t="s">
        <v>138</v>
      </c>
      <c r="D398" t="s">
        <v>1525</v>
      </c>
      <c r="E398" t="s">
        <v>1305</v>
      </c>
      <c r="F398" t="s">
        <v>1349</v>
      </c>
      <c r="G398" t="e">
        <v>#N/A</v>
      </c>
      <c r="H398">
        <v>6.8</v>
      </c>
      <c r="I398" t="e">
        <v>#N/A</v>
      </c>
      <c r="J398" s="1">
        <v>2.9</v>
      </c>
      <c r="K398" s="1" t="e">
        <v>#N/A</v>
      </c>
      <c r="L398" t="s">
        <v>1526</v>
      </c>
      <c r="M398" t="e">
        <v>#N/A</v>
      </c>
      <c r="N398">
        <f>2000+RIGHT(Table1[[#This Row],[Release Date]],2)</f>
        <v>2004</v>
      </c>
      <c r="O398">
        <f>_xlfn.MAXIFS(Table1[[#This Row],[Total Shipped]]:Table1[[#This Row],[Total Sales]],Table1[[#This Row],[Total Shipped]]:Table1[[#This Row],[Total Sales]],"&lt;&gt;#N/A")</f>
        <v>2.9</v>
      </c>
      <c r="P398">
        <f>_xlfn.MAXIFS(Table1[[#This Row],[VGChartz Score]:[User Score]],Table1[[#This Row],[VGChartz Score]:[User Score]],"&lt;&gt;#N/A")</f>
        <v>6.8</v>
      </c>
    </row>
    <row r="399" spans="1:16" hidden="1" x14ac:dyDescent="0.2">
      <c r="A399">
        <f t="shared" si="7"/>
        <v>398</v>
      </c>
      <c r="B399">
        <v>98</v>
      </c>
      <c r="C399" t="s">
        <v>138</v>
      </c>
      <c r="D399" t="s">
        <v>1527</v>
      </c>
      <c r="E399" t="s">
        <v>1305</v>
      </c>
      <c r="F399" t="s">
        <v>1528</v>
      </c>
      <c r="G399">
        <v>4</v>
      </c>
      <c r="H399" t="e">
        <v>#N/A</v>
      </c>
      <c r="I399" t="e">
        <v>#N/A</v>
      </c>
      <c r="J399" s="2">
        <v>2.87</v>
      </c>
      <c r="K399" s="2" t="e">
        <v>#N/A</v>
      </c>
      <c r="L399" t="s">
        <v>425</v>
      </c>
      <c r="M399" t="s">
        <v>1529</v>
      </c>
      <c r="N399">
        <f>2000+RIGHT(Table1[[#This Row],[Release Date]],2)</f>
        <v>2018</v>
      </c>
      <c r="O399">
        <f>_xlfn.MAXIFS(Table1[[#This Row],[Total Shipped]]:Table1[[#This Row],[Total Sales]],Table1[[#This Row],[Total Shipped]]:Table1[[#This Row],[Total Sales]],"&lt;&gt;#N/A")</f>
        <v>2.87</v>
      </c>
      <c r="P399">
        <f>_xlfn.MAXIFS(Table1[[#This Row],[VGChartz Score]:[User Score]],Table1[[#This Row],[VGChartz Score]:[User Score]],"&lt;&gt;#N/A")</f>
        <v>4</v>
      </c>
    </row>
    <row r="400" spans="1:16" hidden="1" x14ac:dyDescent="0.2">
      <c r="A400">
        <f t="shared" si="7"/>
        <v>399</v>
      </c>
      <c r="B400">
        <v>99</v>
      </c>
      <c r="C400" t="s">
        <v>138</v>
      </c>
      <c r="D400" t="s">
        <v>1530</v>
      </c>
      <c r="E400" t="s">
        <v>1305</v>
      </c>
      <c r="F400" t="s">
        <v>1531</v>
      </c>
      <c r="G400" t="e">
        <v>#N/A</v>
      </c>
      <c r="H400" t="e">
        <v>#N/A</v>
      </c>
      <c r="I400" t="e">
        <v>#N/A</v>
      </c>
      <c r="J400" s="1">
        <v>2.86</v>
      </c>
      <c r="K400" s="1" t="e">
        <v>#N/A</v>
      </c>
      <c r="L400" t="s">
        <v>1532</v>
      </c>
      <c r="M400" t="s">
        <v>1533</v>
      </c>
      <c r="N400">
        <f>2000+RIGHT(Table1[[#This Row],[Release Date]],2)</f>
        <v>2015</v>
      </c>
      <c r="O400">
        <f>_xlfn.MAXIFS(Table1[[#This Row],[Total Shipped]]:Table1[[#This Row],[Total Sales]],Table1[[#This Row],[Total Shipped]]:Table1[[#This Row],[Total Sales]],"&lt;&gt;#N/A")</f>
        <v>2.86</v>
      </c>
      <c r="P400">
        <f>_xlfn.MAXIFS(Table1[[#This Row],[VGChartz Score]:[User Score]],Table1[[#This Row],[VGChartz Score]:[User Score]],"&lt;&gt;#N/A")</f>
        <v>0</v>
      </c>
    </row>
    <row r="401" spans="1:16" hidden="1" x14ac:dyDescent="0.2">
      <c r="A401">
        <f t="shared" si="7"/>
        <v>400</v>
      </c>
      <c r="B401">
        <v>100</v>
      </c>
      <c r="C401" t="s">
        <v>138</v>
      </c>
      <c r="D401" t="s">
        <v>1534</v>
      </c>
      <c r="E401" t="s">
        <v>1305</v>
      </c>
      <c r="F401" t="s">
        <v>1535</v>
      </c>
      <c r="G401" t="e">
        <v>#N/A</v>
      </c>
      <c r="H401" t="e">
        <v>#N/A</v>
      </c>
      <c r="I401" t="e">
        <v>#N/A</v>
      </c>
      <c r="J401" s="2">
        <v>2.85</v>
      </c>
      <c r="K401" s="2" t="e">
        <v>#N/A</v>
      </c>
      <c r="L401" t="s">
        <v>1536</v>
      </c>
      <c r="M401" t="s">
        <v>1537</v>
      </c>
      <c r="N401">
        <f>2000+RIGHT(Table1[[#This Row],[Release Date]],2)</f>
        <v>2012</v>
      </c>
      <c r="O401">
        <f>_xlfn.MAXIFS(Table1[[#This Row],[Total Shipped]]:Table1[[#This Row],[Total Sales]],Table1[[#This Row],[Total Shipped]]:Table1[[#This Row],[Total Sales]],"&lt;&gt;#N/A")</f>
        <v>2.85</v>
      </c>
      <c r="P401">
        <f>_xlfn.MAXIFS(Table1[[#This Row],[VGChartz Score]:[User Score]],Table1[[#This Row],[VGChartz Score]:[User Score]],"&lt;&gt;#N/A")</f>
        <v>0</v>
      </c>
    </row>
    <row r="402" spans="1:16" hidden="1" x14ac:dyDescent="0.2">
      <c r="A402">
        <f t="shared" si="7"/>
        <v>401</v>
      </c>
      <c r="B402">
        <v>101</v>
      </c>
      <c r="C402" t="s">
        <v>138</v>
      </c>
      <c r="D402" t="s">
        <v>702</v>
      </c>
      <c r="E402" t="s">
        <v>1305</v>
      </c>
      <c r="F402" t="s">
        <v>254</v>
      </c>
      <c r="G402" t="e">
        <v>#N/A</v>
      </c>
      <c r="H402">
        <v>9</v>
      </c>
      <c r="I402" t="e">
        <v>#N/A</v>
      </c>
      <c r="J402" s="1">
        <v>2.81</v>
      </c>
      <c r="K402" s="1" t="e">
        <v>#N/A</v>
      </c>
      <c r="L402" t="s">
        <v>703</v>
      </c>
      <c r="M402" t="e">
        <v>#N/A</v>
      </c>
      <c r="N402">
        <f>2000+RIGHT(Table1[[#This Row],[Release Date]],2)</f>
        <v>2012</v>
      </c>
      <c r="O402">
        <f>_xlfn.MAXIFS(Table1[[#This Row],[Total Shipped]]:Table1[[#This Row],[Total Sales]],Table1[[#This Row],[Total Shipped]]:Table1[[#This Row],[Total Sales]],"&lt;&gt;#N/A")</f>
        <v>2.81</v>
      </c>
      <c r="P402">
        <f>_xlfn.MAXIFS(Table1[[#This Row],[VGChartz Score]:[User Score]],Table1[[#This Row],[VGChartz Score]:[User Score]],"&lt;&gt;#N/A")</f>
        <v>9</v>
      </c>
    </row>
    <row r="403" spans="1:16" hidden="1" x14ac:dyDescent="0.2">
      <c r="A403">
        <f t="shared" si="7"/>
        <v>402</v>
      </c>
      <c r="B403">
        <v>102</v>
      </c>
      <c r="C403" t="s">
        <v>138</v>
      </c>
      <c r="D403" t="s">
        <v>1538</v>
      </c>
      <c r="E403" t="s">
        <v>1305</v>
      </c>
      <c r="F403" t="s">
        <v>1539</v>
      </c>
      <c r="G403" t="e">
        <v>#N/A</v>
      </c>
      <c r="H403">
        <v>9.1999999999999993</v>
      </c>
      <c r="I403" t="e">
        <v>#N/A</v>
      </c>
      <c r="J403" s="2">
        <v>2.8</v>
      </c>
      <c r="K403" s="2" t="e">
        <v>#N/A</v>
      </c>
      <c r="L403" t="s">
        <v>1540</v>
      </c>
      <c r="M403" t="e">
        <v>#N/A</v>
      </c>
      <c r="N403">
        <f>2000+RIGHT(Table1[[#This Row],[Release Date]],2)</f>
        <v>2098</v>
      </c>
      <c r="O403">
        <f>_xlfn.MAXIFS(Table1[[#This Row],[Total Shipped]]:Table1[[#This Row],[Total Sales]],Table1[[#This Row],[Total Shipped]]:Table1[[#This Row],[Total Sales]],"&lt;&gt;#N/A")</f>
        <v>2.8</v>
      </c>
      <c r="P403">
        <f>_xlfn.MAXIFS(Table1[[#This Row],[VGChartz Score]:[User Score]],Table1[[#This Row],[VGChartz Score]:[User Score]],"&lt;&gt;#N/A")</f>
        <v>9.1999999999999993</v>
      </c>
    </row>
    <row r="404" spans="1:16" hidden="1" x14ac:dyDescent="0.2">
      <c r="A404">
        <f t="shared" si="7"/>
        <v>403</v>
      </c>
      <c r="B404">
        <v>103</v>
      </c>
      <c r="C404" t="s">
        <v>138</v>
      </c>
      <c r="D404" t="s">
        <v>1541</v>
      </c>
      <c r="E404" t="s">
        <v>1305</v>
      </c>
      <c r="F404" t="s">
        <v>1523</v>
      </c>
      <c r="G404" t="e">
        <v>#N/A</v>
      </c>
      <c r="H404" t="e">
        <v>#N/A</v>
      </c>
      <c r="I404" t="e">
        <v>#N/A</v>
      </c>
      <c r="J404" s="1">
        <v>2.8</v>
      </c>
      <c r="K404" s="1" t="e">
        <v>#N/A</v>
      </c>
      <c r="L404" t="e">
        <v>#N/A</v>
      </c>
      <c r="M404" t="s">
        <v>1542</v>
      </c>
      <c r="N404" t="e">
        <f>2000+RIGHT(Table1[[#This Row],[Release Date]],2)</f>
        <v>#N/A</v>
      </c>
      <c r="O404">
        <f>_xlfn.MAXIFS(Table1[[#This Row],[Total Shipped]]:Table1[[#This Row],[Total Sales]],Table1[[#This Row],[Total Shipped]]:Table1[[#This Row],[Total Sales]],"&lt;&gt;#N/A")</f>
        <v>2.8</v>
      </c>
      <c r="P404">
        <f>_xlfn.MAXIFS(Table1[[#This Row],[VGChartz Score]:[User Score]],Table1[[#This Row],[VGChartz Score]:[User Score]],"&lt;&gt;#N/A")</f>
        <v>0</v>
      </c>
    </row>
    <row r="405" spans="1:16" hidden="1" x14ac:dyDescent="0.2">
      <c r="A405">
        <f t="shared" si="7"/>
        <v>404</v>
      </c>
      <c r="B405">
        <v>104</v>
      </c>
      <c r="C405" t="s">
        <v>138</v>
      </c>
      <c r="D405" t="s">
        <v>1543</v>
      </c>
      <c r="E405" t="s">
        <v>1305</v>
      </c>
      <c r="F405" t="s">
        <v>1395</v>
      </c>
      <c r="G405">
        <v>7.7</v>
      </c>
      <c r="H405">
        <v>7.6</v>
      </c>
      <c r="I405" t="e">
        <v>#N/A</v>
      </c>
      <c r="J405" s="2">
        <v>2.8</v>
      </c>
      <c r="K405" s="2" t="e">
        <v>#N/A</v>
      </c>
      <c r="L405" t="s">
        <v>1544</v>
      </c>
      <c r="M405" t="e">
        <v>#N/A</v>
      </c>
      <c r="N405">
        <f>2000+RIGHT(Table1[[#This Row],[Release Date]],2)</f>
        <v>2011</v>
      </c>
      <c r="O405">
        <f>_xlfn.MAXIFS(Table1[[#This Row],[Total Shipped]]:Table1[[#This Row],[Total Sales]],Table1[[#This Row],[Total Shipped]]:Table1[[#This Row],[Total Sales]],"&lt;&gt;#N/A")</f>
        <v>2.8</v>
      </c>
      <c r="P405">
        <f>_xlfn.MAXIFS(Table1[[#This Row],[VGChartz Score]:[User Score]],Table1[[#This Row],[VGChartz Score]:[User Score]],"&lt;&gt;#N/A")</f>
        <v>7.7</v>
      </c>
    </row>
    <row r="406" spans="1:16" hidden="1" x14ac:dyDescent="0.2">
      <c r="A406">
        <f t="shared" si="7"/>
        <v>405</v>
      </c>
      <c r="B406">
        <v>105</v>
      </c>
      <c r="C406" t="s">
        <v>138</v>
      </c>
      <c r="D406" t="s">
        <v>1545</v>
      </c>
      <c r="E406" t="s">
        <v>1305</v>
      </c>
      <c r="F406" t="s">
        <v>1546</v>
      </c>
      <c r="G406">
        <v>8.6999999999999993</v>
      </c>
      <c r="H406" t="e">
        <v>#N/A</v>
      </c>
      <c r="I406" t="e">
        <v>#N/A</v>
      </c>
      <c r="J406" s="1">
        <v>2.79</v>
      </c>
      <c r="K406" s="1" t="e">
        <v>#N/A</v>
      </c>
      <c r="L406" t="s">
        <v>1547</v>
      </c>
      <c r="M406" t="e">
        <v>#N/A</v>
      </c>
      <c r="N406">
        <f>2000+RIGHT(Table1[[#This Row],[Release Date]],2)</f>
        <v>2011</v>
      </c>
      <c r="O406">
        <f>_xlfn.MAXIFS(Table1[[#This Row],[Total Shipped]]:Table1[[#This Row],[Total Sales]],Table1[[#This Row],[Total Shipped]]:Table1[[#This Row],[Total Sales]],"&lt;&gt;#N/A")</f>
        <v>2.79</v>
      </c>
      <c r="P406">
        <f>_xlfn.MAXIFS(Table1[[#This Row],[VGChartz Score]:[User Score]],Table1[[#This Row],[VGChartz Score]:[User Score]],"&lt;&gt;#N/A")</f>
        <v>8.6999999999999993</v>
      </c>
    </row>
    <row r="407" spans="1:16" hidden="1" x14ac:dyDescent="0.2">
      <c r="A407">
        <f t="shared" si="7"/>
        <v>406</v>
      </c>
      <c r="B407">
        <v>106</v>
      </c>
      <c r="C407" t="s">
        <v>138</v>
      </c>
      <c r="D407" t="s">
        <v>553</v>
      </c>
      <c r="E407" t="s">
        <v>1305</v>
      </c>
      <c r="F407" t="s">
        <v>324</v>
      </c>
      <c r="G407">
        <v>8.4</v>
      </c>
      <c r="H407">
        <v>8.9</v>
      </c>
      <c r="I407" t="e">
        <v>#N/A</v>
      </c>
      <c r="J407" s="2" t="e">
        <v>#N/A</v>
      </c>
      <c r="K407" s="2">
        <v>2.76</v>
      </c>
      <c r="L407" t="s">
        <v>554</v>
      </c>
      <c r="M407" t="e">
        <v>#N/A</v>
      </c>
      <c r="N407">
        <f>2000+RIGHT(Table1[[#This Row],[Release Date]],2)</f>
        <v>2011</v>
      </c>
      <c r="O407">
        <f>_xlfn.MAXIFS(Table1[[#This Row],[Total Shipped]]:Table1[[#This Row],[Total Sales]],Table1[[#This Row],[Total Shipped]]:Table1[[#This Row],[Total Sales]],"&lt;&gt;#N/A")</f>
        <v>2.76</v>
      </c>
      <c r="P407">
        <f>_xlfn.MAXIFS(Table1[[#This Row],[VGChartz Score]:[User Score]],Table1[[#This Row],[VGChartz Score]:[User Score]],"&lt;&gt;#N/A")</f>
        <v>8.9</v>
      </c>
    </row>
    <row r="408" spans="1:16" hidden="1" x14ac:dyDescent="0.2">
      <c r="A408">
        <f t="shared" si="7"/>
        <v>407</v>
      </c>
      <c r="B408">
        <v>107</v>
      </c>
      <c r="C408" t="s">
        <v>138</v>
      </c>
      <c r="D408" t="s">
        <v>1548</v>
      </c>
      <c r="E408" t="s">
        <v>1305</v>
      </c>
      <c r="F408" t="s">
        <v>1549</v>
      </c>
      <c r="G408" t="e">
        <v>#N/A</v>
      </c>
      <c r="H408" t="e">
        <v>#N/A</v>
      </c>
      <c r="I408" t="e">
        <v>#N/A</v>
      </c>
      <c r="J408" s="1">
        <v>2.76</v>
      </c>
      <c r="K408" s="1" t="e">
        <v>#N/A</v>
      </c>
      <c r="L408" t="s">
        <v>352</v>
      </c>
      <c r="M408" t="s">
        <v>1550</v>
      </c>
      <c r="N408">
        <f>2000+RIGHT(Table1[[#This Row],[Release Date]],2)</f>
        <v>2014</v>
      </c>
      <c r="O408">
        <f>_xlfn.MAXIFS(Table1[[#This Row],[Total Shipped]]:Table1[[#This Row],[Total Sales]],Table1[[#This Row],[Total Shipped]]:Table1[[#This Row],[Total Sales]],"&lt;&gt;#N/A")</f>
        <v>2.76</v>
      </c>
      <c r="P408">
        <f>_xlfn.MAXIFS(Table1[[#This Row],[VGChartz Score]:[User Score]],Table1[[#This Row],[VGChartz Score]:[User Score]],"&lt;&gt;#N/A")</f>
        <v>0</v>
      </c>
    </row>
    <row r="409" spans="1:16" hidden="1" x14ac:dyDescent="0.2">
      <c r="A409">
        <f t="shared" si="7"/>
        <v>408</v>
      </c>
      <c r="B409">
        <v>108</v>
      </c>
      <c r="C409" t="s">
        <v>138</v>
      </c>
      <c r="D409" t="s">
        <v>1551</v>
      </c>
      <c r="E409" t="s">
        <v>1305</v>
      </c>
      <c r="F409" t="s">
        <v>1552</v>
      </c>
      <c r="G409" t="e">
        <v>#N/A</v>
      </c>
      <c r="H409" t="e">
        <v>#N/A</v>
      </c>
      <c r="I409" t="e">
        <v>#N/A</v>
      </c>
      <c r="J409" s="2">
        <v>2.71</v>
      </c>
      <c r="K409" s="2" t="e">
        <v>#N/A</v>
      </c>
      <c r="L409" t="s">
        <v>1553</v>
      </c>
      <c r="M409" t="e">
        <v>#N/A</v>
      </c>
      <c r="N409">
        <f>2000+RIGHT(Table1[[#This Row],[Release Date]],2)</f>
        <v>2015</v>
      </c>
      <c r="O409">
        <f>_xlfn.MAXIFS(Table1[[#This Row],[Total Shipped]]:Table1[[#This Row],[Total Sales]],Table1[[#This Row],[Total Shipped]]:Table1[[#This Row],[Total Sales]],"&lt;&gt;#N/A")</f>
        <v>2.71</v>
      </c>
      <c r="P409">
        <f>_xlfn.MAXIFS(Table1[[#This Row],[VGChartz Score]:[User Score]],Table1[[#This Row],[VGChartz Score]:[User Score]],"&lt;&gt;#N/A")</f>
        <v>0</v>
      </c>
    </row>
    <row r="410" spans="1:16" hidden="1" x14ac:dyDescent="0.2">
      <c r="A410">
        <f t="shared" si="7"/>
        <v>409</v>
      </c>
      <c r="B410">
        <v>109</v>
      </c>
      <c r="C410" t="s">
        <v>138</v>
      </c>
      <c r="D410" t="s">
        <v>1554</v>
      </c>
      <c r="E410" t="s">
        <v>1305</v>
      </c>
      <c r="F410" t="s">
        <v>1555</v>
      </c>
      <c r="G410" t="e">
        <v>#N/A</v>
      </c>
      <c r="H410" t="e">
        <v>#N/A</v>
      </c>
      <c r="I410" t="e">
        <v>#N/A</v>
      </c>
      <c r="J410" s="1">
        <v>2.7</v>
      </c>
      <c r="K410" s="1" t="e">
        <v>#N/A</v>
      </c>
      <c r="L410" t="s">
        <v>1556</v>
      </c>
      <c r="M410" t="e">
        <v>#N/A</v>
      </c>
      <c r="N410">
        <f>2000+RIGHT(Table1[[#This Row],[Release Date]],2)</f>
        <v>2000</v>
      </c>
      <c r="O410">
        <f>_xlfn.MAXIFS(Table1[[#This Row],[Total Shipped]]:Table1[[#This Row],[Total Sales]],Table1[[#This Row],[Total Shipped]]:Table1[[#This Row],[Total Sales]],"&lt;&gt;#N/A")</f>
        <v>2.7</v>
      </c>
      <c r="P410">
        <f>_xlfn.MAXIFS(Table1[[#This Row],[VGChartz Score]:[User Score]],Table1[[#This Row],[VGChartz Score]:[User Score]],"&lt;&gt;#N/A")</f>
        <v>0</v>
      </c>
    </row>
    <row r="411" spans="1:16" hidden="1" x14ac:dyDescent="0.2">
      <c r="A411">
        <f t="shared" si="7"/>
        <v>410</v>
      </c>
      <c r="B411">
        <v>110</v>
      </c>
      <c r="C411" t="s">
        <v>138</v>
      </c>
      <c r="D411" t="s">
        <v>1557</v>
      </c>
      <c r="E411" t="s">
        <v>1305</v>
      </c>
      <c r="F411" t="s">
        <v>392</v>
      </c>
      <c r="G411">
        <v>8.4</v>
      </c>
      <c r="H411" t="e">
        <v>#N/A</v>
      </c>
      <c r="I411" t="e">
        <v>#N/A</v>
      </c>
      <c r="J411" s="2">
        <v>2.7</v>
      </c>
      <c r="K411" s="2" t="e">
        <v>#N/A</v>
      </c>
      <c r="L411" t="s">
        <v>549</v>
      </c>
      <c r="M411" t="s">
        <v>1333</v>
      </c>
      <c r="N411">
        <f>2000+RIGHT(Table1[[#This Row],[Release Date]],2)</f>
        <v>2012</v>
      </c>
      <c r="O411">
        <f>_xlfn.MAXIFS(Table1[[#This Row],[Total Shipped]]:Table1[[#This Row],[Total Sales]],Table1[[#This Row],[Total Shipped]]:Table1[[#This Row],[Total Sales]],"&lt;&gt;#N/A")</f>
        <v>2.7</v>
      </c>
      <c r="P411">
        <f>_xlfn.MAXIFS(Table1[[#This Row],[VGChartz Score]:[User Score]],Table1[[#This Row],[VGChartz Score]:[User Score]],"&lt;&gt;#N/A")</f>
        <v>8.4</v>
      </c>
    </row>
    <row r="412" spans="1:16" hidden="1" x14ac:dyDescent="0.2">
      <c r="A412">
        <f t="shared" ref="A412:A473" si="8">ROW()-1</f>
        <v>411</v>
      </c>
      <c r="B412">
        <v>111</v>
      </c>
      <c r="C412" t="s">
        <v>138</v>
      </c>
      <c r="D412" t="s">
        <v>1558</v>
      </c>
      <c r="E412" t="s">
        <v>1305</v>
      </c>
      <c r="F412" t="s">
        <v>257</v>
      </c>
      <c r="G412" t="e">
        <v>#N/A</v>
      </c>
      <c r="H412">
        <v>8.8000000000000007</v>
      </c>
      <c r="I412" t="e">
        <v>#N/A</v>
      </c>
      <c r="J412" s="1">
        <v>2.58</v>
      </c>
      <c r="K412" s="1" t="e">
        <v>#N/A</v>
      </c>
      <c r="L412" t="s">
        <v>1559</v>
      </c>
      <c r="M412" t="s">
        <v>1416</v>
      </c>
      <c r="N412">
        <f>2000+RIGHT(Table1[[#This Row],[Release Date]],2)</f>
        <v>2012</v>
      </c>
      <c r="O412">
        <f>_xlfn.MAXIFS(Table1[[#This Row],[Total Shipped]]:Table1[[#This Row],[Total Sales]],Table1[[#This Row],[Total Shipped]]:Table1[[#This Row],[Total Sales]],"&lt;&gt;#N/A")</f>
        <v>2.58</v>
      </c>
      <c r="P412">
        <f>_xlfn.MAXIFS(Table1[[#This Row],[VGChartz Score]:[User Score]],Table1[[#This Row],[VGChartz Score]:[User Score]],"&lt;&gt;#N/A")</f>
        <v>8.8000000000000007</v>
      </c>
    </row>
    <row r="413" spans="1:16" hidden="1" x14ac:dyDescent="0.2">
      <c r="A413">
        <f t="shared" si="8"/>
        <v>412</v>
      </c>
      <c r="B413">
        <v>112</v>
      </c>
      <c r="C413" t="s">
        <v>138</v>
      </c>
      <c r="D413" t="s">
        <v>1560</v>
      </c>
      <c r="E413" t="s">
        <v>1305</v>
      </c>
      <c r="F413" t="s">
        <v>321</v>
      </c>
      <c r="G413" t="e">
        <v>#N/A</v>
      </c>
      <c r="H413">
        <v>8.5</v>
      </c>
      <c r="I413" t="e">
        <v>#N/A</v>
      </c>
      <c r="J413" s="2">
        <v>2.58</v>
      </c>
      <c r="K413" s="2" t="e">
        <v>#N/A</v>
      </c>
      <c r="L413" t="s">
        <v>1561</v>
      </c>
      <c r="M413" t="e">
        <v>#N/A</v>
      </c>
      <c r="N413">
        <f>2000+RIGHT(Table1[[#This Row],[Release Date]],2)</f>
        <v>2011</v>
      </c>
      <c r="O413">
        <f>_xlfn.MAXIFS(Table1[[#This Row],[Total Shipped]]:Table1[[#This Row],[Total Sales]],Table1[[#This Row],[Total Shipped]]:Table1[[#This Row],[Total Sales]],"&lt;&gt;#N/A")</f>
        <v>2.58</v>
      </c>
      <c r="P413">
        <f>_xlfn.MAXIFS(Table1[[#This Row],[VGChartz Score]:[User Score]],Table1[[#This Row],[VGChartz Score]:[User Score]],"&lt;&gt;#N/A")</f>
        <v>8.5</v>
      </c>
    </row>
    <row r="414" spans="1:16" hidden="1" x14ac:dyDescent="0.2">
      <c r="A414">
        <f t="shared" si="8"/>
        <v>413</v>
      </c>
      <c r="B414">
        <v>113</v>
      </c>
      <c r="C414" t="s">
        <v>138</v>
      </c>
      <c r="D414" t="s">
        <v>1562</v>
      </c>
      <c r="E414" t="s">
        <v>1305</v>
      </c>
      <c r="F414" t="s">
        <v>324</v>
      </c>
      <c r="G414" t="e">
        <v>#N/A</v>
      </c>
      <c r="H414">
        <v>9.3000000000000007</v>
      </c>
      <c r="I414" t="e">
        <v>#N/A</v>
      </c>
      <c r="J414" s="1">
        <v>2.5</v>
      </c>
      <c r="K414" s="1" t="e">
        <v>#N/A</v>
      </c>
      <c r="L414" t="s">
        <v>1563</v>
      </c>
      <c r="M414" t="e">
        <v>#N/A</v>
      </c>
      <c r="N414">
        <f>2000+RIGHT(Table1[[#This Row],[Release Date]],2)</f>
        <v>2001</v>
      </c>
      <c r="O414">
        <f>_xlfn.MAXIFS(Table1[[#This Row],[Total Shipped]]:Table1[[#This Row],[Total Sales]],Table1[[#This Row],[Total Shipped]]:Table1[[#This Row],[Total Sales]],"&lt;&gt;#N/A")</f>
        <v>2.5</v>
      </c>
      <c r="P414">
        <f>_xlfn.MAXIFS(Table1[[#This Row],[VGChartz Score]:[User Score]],Table1[[#This Row],[VGChartz Score]:[User Score]],"&lt;&gt;#N/A")</f>
        <v>9.3000000000000007</v>
      </c>
    </row>
    <row r="415" spans="1:16" hidden="1" x14ac:dyDescent="0.2">
      <c r="A415">
        <f t="shared" si="8"/>
        <v>414</v>
      </c>
      <c r="B415">
        <v>114</v>
      </c>
      <c r="C415" t="s">
        <v>138</v>
      </c>
      <c r="D415" t="s">
        <v>378</v>
      </c>
      <c r="E415" t="s">
        <v>1305</v>
      </c>
      <c r="F415" t="s">
        <v>1564</v>
      </c>
      <c r="G415" t="e">
        <v>#N/A</v>
      </c>
      <c r="H415" t="e">
        <v>#N/A</v>
      </c>
      <c r="I415" t="e">
        <v>#N/A</v>
      </c>
      <c r="J415" s="2">
        <v>2.5</v>
      </c>
      <c r="K415" s="2" t="e">
        <v>#N/A</v>
      </c>
      <c r="L415" t="s">
        <v>1565</v>
      </c>
      <c r="M415" t="s">
        <v>358</v>
      </c>
      <c r="N415">
        <f>2000+RIGHT(Table1[[#This Row],[Release Date]],2)</f>
        <v>2019</v>
      </c>
      <c r="O415">
        <f>_xlfn.MAXIFS(Table1[[#This Row],[Total Shipped]]:Table1[[#This Row],[Total Sales]],Table1[[#This Row],[Total Shipped]]:Table1[[#This Row],[Total Sales]],"&lt;&gt;#N/A")</f>
        <v>2.5</v>
      </c>
      <c r="P415">
        <f>_xlfn.MAXIFS(Table1[[#This Row],[VGChartz Score]:[User Score]],Table1[[#This Row],[VGChartz Score]:[User Score]],"&lt;&gt;#N/A")</f>
        <v>0</v>
      </c>
    </row>
    <row r="416" spans="1:16" hidden="1" x14ac:dyDescent="0.2">
      <c r="A416">
        <f t="shared" si="8"/>
        <v>415</v>
      </c>
      <c r="B416">
        <v>115</v>
      </c>
      <c r="C416" t="s">
        <v>138</v>
      </c>
      <c r="D416" t="s">
        <v>1566</v>
      </c>
      <c r="E416" t="s">
        <v>1305</v>
      </c>
      <c r="F416" t="s">
        <v>392</v>
      </c>
      <c r="G416" t="e">
        <v>#N/A</v>
      </c>
      <c r="H416">
        <v>8.6999999999999993</v>
      </c>
      <c r="I416" t="e">
        <v>#N/A</v>
      </c>
      <c r="J416" s="1">
        <v>2.5</v>
      </c>
      <c r="K416" s="1" t="e">
        <v>#N/A</v>
      </c>
      <c r="L416" t="s">
        <v>1567</v>
      </c>
      <c r="M416" t="e">
        <v>#N/A</v>
      </c>
      <c r="N416">
        <f>2000+RIGHT(Table1[[#This Row],[Release Date]],2)</f>
        <v>2096</v>
      </c>
      <c r="O416">
        <f>_xlfn.MAXIFS(Table1[[#This Row],[Total Shipped]]:Table1[[#This Row],[Total Sales]],Table1[[#This Row],[Total Shipped]]:Table1[[#This Row],[Total Sales]],"&lt;&gt;#N/A")</f>
        <v>2.5</v>
      </c>
      <c r="P416">
        <f>_xlfn.MAXIFS(Table1[[#This Row],[VGChartz Score]:[User Score]],Table1[[#This Row],[VGChartz Score]:[User Score]],"&lt;&gt;#N/A")</f>
        <v>8.6999999999999993</v>
      </c>
    </row>
    <row r="417" spans="1:16" hidden="1" x14ac:dyDescent="0.2">
      <c r="A417">
        <f t="shared" si="8"/>
        <v>416</v>
      </c>
      <c r="B417">
        <v>116</v>
      </c>
      <c r="C417" t="s">
        <v>138</v>
      </c>
      <c r="D417" t="s">
        <v>1568</v>
      </c>
      <c r="E417" t="s">
        <v>1305</v>
      </c>
      <c r="F417" t="s">
        <v>1569</v>
      </c>
      <c r="G417" t="e">
        <v>#N/A</v>
      </c>
      <c r="H417" t="e">
        <v>#N/A</v>
      </c>
      <c r="I417" t="e">
        <v>#N/A</v>
      </c>
      <c r="J417" s="2">
        <v>2.5</v>
      </c>
      <c r="K417" s="2" t="e">
        <v>#N/A</v>
      </c>
      <c r="L417" t="s">
        <v>1570</v>
      </c>
      <c r="M417" t="s">
        <v>1571</v>
      </c>
      <c r="N417">
        <f>2000+RIGHT(Table1[[#This Row],[Release Date]],2)</f>
        <v>2016</v>
      </c>
      <c r="O417">
        <f>_xlfn.MAXIFS(Table1[[#This Row],[Total Shipped]]:Table1[[#This Row],[Total Sales]],Table1[[#This Row],[Total Shipped]]:Table1[[#This Row],[Total Sales]],"&lt;&gt;#N/A")</f>
        <v>2.5</v>
      </c>
      <c r="P417">
        <f>_xlfn.MAXIFS(Table1[[#This Row],[VGChartz Score]:[User Score]],Table1[[#This Row],[VGChartz Score]:[User Score]],"&lt;&gt;#N/A")</f>
        <v>0</v>
      </c>
    </row>
    <row r="418" spans="1:16" hidden="1" x14ac:dyDescent="0.2">
      <c r="A418">
        <f t="shared" si="8"/>
        <v>417</v>
      </c>
      <c r="B418">
        <v>117</v>
      </c>
      <c r="C418" t="s">
        <v>138</v>
      </c>
      <c r="D418" t="s">
        <v>1572</v>
      </c>
      <c r="E418" t="s">
        <v>1305</v>
      </c>
      <c r="F418" t="s">
        <v>151</v>
      </c>
      <c r="G418" t="e">
        <v>#N/A</v>
      </c>
      <c r="H418">
        <v>8.6</v>
      </c>
      <c r="I418" t="e">
        <v>#N/A</v>
      </c>
      <c r="J418" s="1">
        <v>2.5</v>
      </c>
      <c r="K418" s="1" t="e">
        <v>#N/A</v>
      </c>
      <c r="L418" t="s">
        <v>1526</v>
      </c>
      <c r="M418" t="e">
        <v>#N/A</v>
      </c>
      <c r="N418">
        <f>2000+RIGHT(Table1[[#This Row],[Release Date]],2)</f>
        <v>2004</v>
      </c>
      <c r="O418">
        <f>_xlfn.MAXIFS(Table1[[#This Row],[Total Shipped]]:Table1[[#This Row],[Total Sales]],Table1[[#This Row],[Total Shipped]]:Table1[[#This Row],[Total Sales]],"&lt;&gt;#N/A")</f>
        <v>2.5</v>
      </c>
      <c r="P418">
        <f>_xlfn.MAXIFS(Table1[[#This Row],[VGChartz Score]:[User Score]],Table1[[#This Row],[VGChartz Score]:[User Score]],"&lt;&gt;#N/A")</f>
        <v>8.6</v>
      </c>
    </row>
    <row r="419" spans="1:16" x14ac:dyDescent="0.2">
      <c r="A419">
        <f t="shared" si="8"/>
        <v>418</v>
      </c>
      <c r="B419">
        <v>118</v>
      </c>
      <c r="C419" t="s">
        <v>138</v>
      </c>
      <c r="D419" t="s">
        <v>1573</v>
      </c>
      <c r="E419" t="s">
        <v>1305</v>
      </c>
      <c r="F419" t="s">
        <v>1574</v>
      </c>
      <c r="G419" t="e">
        <v>#N/A</v>
      </c>
      <c r="H419" t="e">
        <v>#N/A</v>
      </c>
      <c r="I419" t="e">
        <v>#N/A</v>
      </c>
      <c r="J419" s="2">
        <v>2.5</v>
      </c>
      <c r="K419" s="2" t="e">
        <v>#N/A</v>
      </c>
      <c r="L419" t="s">
        <v>1575</v>
      </c>
      <c r="M419" t="s">
        <v>295</v>
      </c>
      <c r="N419">
        <f>2000+RIGHT(Table1[[#This Row],[Release Date]],2)</f>
        <v>2022</v>
      </c>
      <c r="O419">
        <f>_xlfn.MAXIFS(Table1[[#This Row],[Total Shipped]]:Table1[[#This Row],[Total Sales]],Table1[[#This Row],[Total Shipped]]:Table1[[#This Row],[Total Sales]],"&lt;&gt;#N/A")</f>
        <v>2.5</v>
      </c>
      <c r="P419">
        <f>_xlfn.MAXIFS(Table1[[#This Row],[VGChartz Score]:[User Score]],Table1[[#This Row],[VGChartz Score]:[User Score]],"&lt;&gt;#N/A")</f>
        <v>0</v>
      </c>
    </row>
    <row r="420" spans="1:16" hidden="1" x14ac:dyDescent="0.2">
      <c r="A420">
        <f t="shared" si="8"/>
        <v>419</v>
      </c>
      <c r="B420">
        <v>119</v>
      </c>
      <c r="C420" t="s">
        <v>138</v>
      </c>
      <c r="D420" t="s">
        <v>1576</v>
      </c>
      <c r="E420" t="s">
        <v>1305</v>
      </c>
      <c r="F420" t="s">
        <v>1577</v>
      </c>
      <c r="G420" t="e">
        <v>#N/A</v>
      </c>
      <c r="H420" t="e">
        <v>#N/A</v>
      </c>
      <c r="I420" t="e">
        <v>#N/A</v>
      </c>
      <c r="J420" s="1">
        <v>2.5</v>
      </c>
      <c r="K420" s="1" t="e">
        <v>#N/A</v>
      </c>
      <c r="L420" t="s">
        <v>1578</v>
      </c>
      <c r="M420" t="s">
        <v>411</v>
      </c>
      <c r="N420">
        <f>2000+RIGHT(Table1[[#This Row],[Release Date]],2)</f>
        <v>2016</v>
      </c>
      <c r="O420">
        <f>_xlfn.MAXIFS(Table1[[#This Row],[Total Shipped]]:Table1[[#This Row],[Total Sales]],Table1[[#This Row],[Total Shipped]]:Table1[[#This Row],[Total Sales]],"&lt;&gt;#N/A")</f>
        <v>2.5</v>
      </c>
      <c r="P420">
        <f>_xlfn.MAXIFS(Table1[[#This Row],[VGChartz Score]:[User Score]],Table1[[#This Row],[VGChartz Score]:[User Score]],"&lt;&gt;#N/A")</f>
        <v>0</v>
      </c>
    </row>
    <row r="421" spans="1:16" hidden="1" x14ac:dyDescent="0.2">
      <c r="A421">
        <f t="shared" si="8"/>
        <v>420</v>
      </c>
      <c r="B421">
        <v>120</v>
      </c>
      <c r="C421" t="s">
        <v>138</v>
      </c>
      <c r="D421" t="s">
        <v>1579</v>
      </c>
      <c r="E421" t="s">
        <v>1305</v>
      </c>
      <c r="F421" t="s">
        <v>392</v>
      </c>
      <c r="G421" t="e">
        <v>#N/A</v>
      </c>
      <c r="H421">
        <v>9.1999999999999993</v>
      </c>
      <c r="I421" t="e">
        <v>#N/A</v>
      </c>
      <c r="J421" s="2">
        <v>2.5</v>
      </c>
      <c r="K421" s="2" t="e">
        <v>#N/A</v>
      </c>
      <c r="L421" t="s">
        <v>1580</v>
      </c>
      <c r="M421" t="e">
        <v>#N/A</v>
      </c>
      <c r="N421">
        <f>2000+RIGHT(Table1[[#This Row],[Release Date]],2)</f>
        <v>2003</v>
      </c>
      <c r="O421">
        <f>_xlfn.MAXIFS(Table1[[#This Row],[Total Shipped]]:Table1[[#This Row],[Total Sales]],Table1[[#This Row],[Total Shipped]]:Table1[[#This Row],[Total Sales]],"&lt;&gt;#N/A")</f>
        <v>2.5</v>
      </c>
      <c r="P421">
        <f>_xlfn.MAXIFS(Table1[[#This Row],[VGChartz Score]:[User Score]],Table1[[#This Row],[VGChartz Score]:[User Score]],"&lt;&gt;#N/A")</f>
        <v>9.1999999999999993</v>
      </c>
    </row>
    <row r="422" spans="1:16" hidden="1" x14ac:dyDescent="0.2">
      <c r="A422">
        <f t="shared" si="8"/>
        <v>421</v>
      </c>
      <c r="B422">
        <v>121</v>
      </c>
      <c r="C422" t="s">
        <v>138</v>
      </c>
      <c r="D422" t="s">
        <v>1581</v>
      </c>
      <c r="E422" t="s">
        <v>1305</v>
      </c>
      <c r="F422" t="s">
        <v>254</v>
      </c>
      <c r="G422" t="e">
        <v>#N/A</v>
      </c>
      <c r="H422" t="e">
        <v>#N/A</v>
      </c>
      <c r="I422" t="e">
        <v>#N/A</v>
      </c>
      <c r="J422" s="1">
        <v>2.4900000000000002</v>
      </c>
      <c r="K422" s="1" t="e">
        <v>#N/A</v>
      </c>
      <c r="L422" t="s">
        <v>1582</v>
      </c>
      <c r="M422" t="s">
        <v>1120</v>
      </c>
      <c r="N422">
        <f>2000+RIGHT(Table1[[#This Row],[Release Date]],2)</f>
        <v>2016</v>
      </c>
      <c r="O422">
        <f>_xlfn.MAXIFS(Table1[[#This Row],[Total Shipped]]:Table1[[#This Row],[Total Sales]],Table1[[#This Row],[Total Shipped]]:Table1[[#This Row],[Total Sales]],"&lt;&gt;#N/A")</f>
        <v>2.4900000000000002</v>
      </c>
      <c r="P422">
        <f>_xlfn.MAXIFS(Table1[[#This Row],[VGChartz Score]:[User Score]],Table1[[#This Row],[VGChartz Score]:[User Score]],"&lt;&gt;#N/A")</f>
        <v>0</v>
      </c>
    </row>
    <row r="423" spans="1:16" hidden="1" x14ac:dyDescent="0.2">
      <c r="A423">
        <f t="shared" si="8"/>
        <v>422</v>
      </c>
      <c r="B423">
        <v>122</v>
      </c>
      <c r="C423" t="s">
        <v>138</v>
      </c>
      <c r="D423" t="s">
        <v>1583</v>
      </c>
      <c r="E423" t="s">
        <v>1305</v>
      </c>
      <c r="F423" t="s">
        <v>1584</v>
      </c>
      <c r="G423" t="e">
        <v>#N/A</v>
      </c>
      <c r="H423" t="e">
        <v>#N/A</v>
      </c>
      <c r="I423" t="e">
        <v>#N/A</v>
      </c>
      <c r="J423" s="2">
        <v>2.4900000000000002</v>
      </c>
      <c r="K423" s="2" t="e">
        <v>#N/A</v>
      </c>
      <c r="L423" t="s">
        <v>1585</v>
      </c>
      <c r="M423" t="s">
        <v>1416</v>
      </c>
      <c r="N423">
        <f>2000+RIGHT(Table1[[#This Row],[Release Date]],2)</f>
        <v>2012</v>
      </c>
      <c r="O423">
        <f>_xlfn.MAXIFS(Table1[[#This Row],[Total Shipped]]:Table1[[#This Row],[Total Sales]],Table1[[#This Row],[Total Shipped]]:Table1[[#This Row],[Total Sales]],"&lt;&gt;#N/A")</f>
        <v>2.4900000000000002</v>
      </c>
      <c r="P423">
        <f>_xlfn.MAXIFS(Table1[[#This Row],[VGChartz Score]:[User Score]],Table1[[#This Row],[VGChartz Score]:[User Score]],"&lt;&gt;#N/A")</f>
        <v>0</v>
      </c>
    </row>
    <row r="424" spans="1:16" hidden="1" x14ac:dyDescent="0.2">
      <c r="A424">
        <f t="shared" si="8"/>
        <v>423</v>
      </c>
      <c r="B424">
        <v>123</v>
      </c>
      <c r="C424" t="s">
        <v>138</v>
      </c>
      <c r="D424" t="s">
        <v>1586</v>
      </c>
      <c r="E424" t="s">
        <v>1305</v>
      </c>
      <c r="F424" t="s">
        <v>1587</v>
      </c>
      <c r="G424" t="e">
        <v>#N/A</v>
      </c>
      <c r="H424">
        <v>8.3000000000000007</v>
      </c>
      <c r="I424" t="e">
        <v>#N/A</v>
      </c>
      <c r="J424" s="1">
        <v>2.48</v>
      </c>
      <c r="K424" s="1" t="e">
        <v>#N/A</v>
      </c>
      <c r="L424" t="s">
        <v>1588</v>
      </c>
      <c r="M424" t="e">
        <v>#N/A</v>
      </c>
      <c r="N424">
        <f>2000+RIGHT(Table1[[#This Row],[Release Date]],2)</f>
        <v>2011</v>
      </c>
      <c r="O424">
        <f>_xlfn.MAXIFS(Table1[[#This Row],[Total Shipped]]:Table1[[#This Row],[Total Sales]],Table1[[#This Row],[Total Shipped]]:Table1[[#This Row],[Total Sales]],"&lt;&gt;#N/A")</f>
        <v>2.48</v>
      </c>
      <c r="P424">
        <f>_xlfn.MAXIFS(Table1[[#This Row],[VGChartz Score]:[User Score]],Table1[[#This Row],[VGChartz Score]:[User Score]],"&lt;&gt;#N/A")</f>
        <v>8.3000000000000007</v>
      </c>
    </row>
    <row r="425" spans="1:16" hidden="1" x14ac:dyDescent="0.2">
      <c r="A425">
        <f t="shared" si="8"/>
        <v>424</v>
      </c>
      <c r="B425">
        <v>124</v>
      </c>
      <c r="C425" t="s">
        <v>138</v>
      </c>
      <c r="D425" t="s">
        <v>1589</v>
      </c>
      <c r="E425" t="s">
        <v>1305</v>
      </c>
      <c r="F425" t="s">
        <v>324</v>
      </c>
      <c r="G425" t="e">
        <v>#N/A</v>
      </c>
      <c r="H425">
        <v>9</v>
      </c>
      <c r="I425" t="e">
        <v>#N/A</v>
      </c>
      <c r="J425" s="2">
        <v>2.4700000000000002</v>
      </c>
      <c r="K425" s="2" t="e">
        <v>#N/A</v>
      </c>
      <c r="L425" t="s">
        <v>1590</v>
      </c>
      <c r="M425" t="e">
        <v>#N/A</v>
      </c>
      <c r="N425">
        <f>2000+RIGHT(Table1[[#This Row],[Release Date]],2)</f>
        <v>2002</v>
      </c>
      <c r="O425">
        <f>_xlfn.MAXIFS(Table1[[#This Row],[Total Shipped]]:Table1[[#This Row],[Total Sales]],Table1[[#This Row],[Total Shipped]]:Table1[[#This Row],[Total Sales]],"&lt;&gt;#N/A")</f>
        <v>2.4700000000000002</v>
      </c>
      <c r="P425">
        <f>_xlfn.MAXIFS(Table1[[#This Row],[VGChartz Score]:[User Score]],Table1[[#This Row],[VGChartz Score]:[User Score]],"&lt;&gt;#N/A")</f>
        <v>9</v>
      </c>
    </row>
    <row r="426" spans="1:16" hidden="1" x14ac:dyDescent="0.2">
      <c r="A426">
        <f t="shared" si="8"/>
        <v>425</v>
      </c>
      <c r="B426">
        <v>125</v>
      </c>
      <c r="C426" t="s">
        <v>138</v>
      </c>
      <c r="D426" t="s">
        <v>575</v>
      </c>
      <c r="E426" t="s">
        <v>1305</v>
      </c>
      <c r="F426" t="s">
        <v>420</v>
      </c>
      <c r="G426" t="e">
        <v>#N/A</v>
      </c>
      <c r="H426">
        <v>9</v>
      </c>
      <c r="I426" t="e">
        <v>#N/A</v>
      </c>
      <c r="J426" s="1">
        <v>2.4700000000000002</v>
      </c>
      <c r="K426" s="1" t="e">
        <v>#N/A</v>
      </c>
      <c r="L426" t="s">
        <v>1226</v>
      </c>
      <c r="M426" t="e">
        <v>#N/A</v>
      </c>
      <c r="N426">
        <f>2000+RIGHT(Table1[[#This Row],[Release Date]],2)</f>
        <v>2011</v>
      </c>
      <c r="O426">
        <f>_xlfn.MAXIFS(Table1[[#This Row],[Total Shipped]]:Table1[[#This Row],[Total Sales]],Table1[[#This Row],[Total Shipped]]:Table1[[#This Row],[Total Sales]],"&lt;&gt;#N/A")</f>
        <v>2.4700000000000002</v>
      </c>
      <c r="P426">
        <f>_xlfn.MAXIFS(Table1[[#This Row],[VGChartz Score]:[User Score]],Table1[[#This Row],[VGChartz Score]:[User Score]],"&lt;&gt;#N/A")</f>
        <v>9</v>
      </c>
    </row>
    <row r="427" spans="1:16" hidden="1" x14ac:dyDescent="0.2">
      <c r="A427">
        <f t="shared" si="8"/>
        <v>426</v>
      </c>
      <c r="B427">
        <v>126</v>
      </c>
      <c r="C427" t="s">
        <v>138</v>
      </c>
      <c r="D427" t="s">
        <v>1591</v>
      </c>
      <c r="E427" t="s">
        <v>1305</v>
      </c>
      <c r="F427" t="s">
        <v>1592</v>
      </c>
      <c r="G427" t="e">
        <v>#N/A</v>
      </c>
      <c r="H427" t="e">
        <v>#N/A</v>
      </c>
      <c r="I427" t="e">
        <v>#N/A</v>
      </c>
      <c r="J427" s="2">
        <v>2.4</v>
      </c>
      <c r="K427" s="2" t="e">
        <v>#N/A</v>
      </c>
      <c r="L427" t="s">
        <v>1593</v>
      </c>
      <c r="M427" t="e">
        <v>#N/A</v>
      </c>
      <c r="N427">
        <f>2000+RIGHT(Table1[[#This Row],[Release Date]],2)</f>
        <v>2099</v>
      </c>
      <c r="O427">
        <f>_xlfn.MAXIFS(Table1[[#This Row],[Total Shipped]]:Table1[[#This Row],[Total Sales]],Table1[[#This Row],[Total Shipped]]:Table1[[#This Row],[Total Sales]],"&lt;&gt;#N/A")</f>
        <v>2.4</v>
      </c>
      <c r="P427">
        <f>_xlfn.MAXIFS(Table1[[#This Row],[VGChartz Score]:[User Score]],Table1[[#This Row],[VGChartz Score]:[User Score]],"&lt;&gt;#N/A")</f>
        <v>0</v>
      </c>
    </row>
    <row r="428" spans="1:16" hidden="1" x14ac:dyDescent="0.2">
      <c r="A428">
        <f t="shared" si="8"/>
        <v>427</v>
      </c>
      <c r="B428">
        <v>127</v>
      </c>
      <c r="C428" t="s">
        <v>138</v>
      </c>
      <c r="D428" t="s">
        <v>1594</v>
      </c>
      <c r="E428" t="s">
        <v>1305</v>
      </c>
      <c r="F428" t="s">
        <v>324</v>
      </c>
      <c r="G428" t="e">
        <v>#N/A</v>
      </c>
      <c r="H428">
        <v>5.5</v>
      </c>
      <c r="I428" t="e">
        <v>#N/A</v>
      </c>
      <c r="J428" s="1" t="e">
        <v>#N/A</v>
      </c>
      <c r="K428" s="1">
        <v>2.4</v>
      </c>
      <c r="L428" t="s">
        <v>1595</v>
      </c>
      <c r="M428" t="e">
        <v>#N/A</v>
      </c>
      <c r="N428">
        <f>2000+RIGHT(Table1[[#This Row],[Release Date]],2)</f>
        <v>2097</v>
      </c>
      <c r="O428">
        <f>_xlfn.MAXIFS(Table1[[#This Row],[Total Shipped]]:Table1[[#This Row],[Total Sales]],Table1[[#This Row],[Total Shipped]]:Table1[[#This Row],[Total Sales]],"&lt;&gt;#N/A")</f>
        <v>2.4</v>
      </c>
      <c r="P428">
        <f>_xlfn.MAXIFS(Table1[[#This Row],[VGChartz Score]:[User Score]],Table1[[#This Row],[VGChartz Score]:[User Score]],"&lt;&gt;#N/A")</f>
        <v>5.5</v>
      </c>
    </row>
    <row r="429" spans="1:16" hidden="1" x14ac:dyDescent="0.2">
      <c r="A429">
        <f t="shared" si="8"/>
        <v>428</v>
      </c>
      <c r="B429">
        <v>128</v>
      </c>
      <c r="C429" t="s">
        <v>138</v>
      </c>
      <c r="D429" t="s">
        <v>1596</v>
      </c>
      <c r="E429" t="s">
        <v>1305</v>
      </c>
      <c r="F429" t="s">
        <v>1597</v>
      </c>
      <c r="G429" t="e">
        <v>#N/A</v>
      </c>
      <c r="H429" t="e">
        <v>#N/A</v>
      </c>
      <c r="I429" t="e">
        <v>#N/A</v>
      </c>
      <c r="J429" s="2" t="e">
        <v>#N/A</v>
      </c>
      <c r="K429" s="2">
        <v>2.39</v>
      </c>
      <c r="L429" t="s">
        <v>1370</v>
      </c>
      <c r="M429" t="e">
        <v>#N/A</v>
      </c>
      <c r="N429">
        <f>2000+RIGHT(Table1[[#This Row],[Release Date]],2)</f>
        <v>2095</v>
      </c>
      <c r="O429">
        <f>_xlfn.MAXIFS(Table1[[#This Row],[Total Shipped]]:Table1[[#This Row],[Total Sales]],Table1[[#This Row],[Total Shipped]]:Table1[[#This Row],[Total Sales]],"&lt;&gt;#N/A")</f>
        <v>2.39</v>
      </c>
      <c r="P429">
        <f>_xlfn.MAXIFS(Table1[[#This Row],[VGChartz Score]:[User Score]],Table1[[#This Row],[VGChartz Score]:[User Score]],"&lt;&gt;#N/A")</f>
        <v>0</v>
      </c>
    </row>
    <row r="430" spans="1:16" hidden="1" x14ac:dyDescent="0.2">
      <c r="A430">
        <f t="shared" si="8"/>
        <v>429</v>
      </c>
      <c r="B430">
        <v>129</v>
      </c>
      <c r="C430" t="s">
        <v>138</v>
      </c>
      <c r="D430" t="s">
        <v>1598</v>
      </c>
      <c r="E430" t="s">
        <v>1305</v>
      </c>
      <c r="F430" t="s">
        <v>254</v>
      </c>
      <c r="G430" t="e">
        <v>#N/A</v>
      </c>
      <c r="H430">
        <v>8.5</v>
      </c>
      <c r="I430" t="e">
        <v>#N/A</v>
      </c>
      <c r="J430" s="1">
        <v>2.36</v>
      </c>
      <c r="K430" s="1" t="e">
        <v>#N/A</v>
      </c>
      <c r="L430" t="s">
        <v>1599</v>
      </c>
      <c r="M430" t="s">
        <v>1600</v>
      </c>
      <c r="N430">
        <f>2000+RIGHT(Table1[[#This Row],[Release Date]],2)</f>
        <v>2012</v>
      </c>
      <c r="O430">
        <f>_xlfn.MAXIFS(Table1[[#This Row],[Total Shipped]]:Table1[[#This Row],[Total Sales]],Table1[[#This Row],[Total Shipped]]:Table1[[#This Row],[Total Sales]],"&lt;&gt;#N/A")</f>
        <v>2.36</v>
      </c>
      <c r="P430">
        <f>_xlfn.MAXIFS(Table1[[#This Row],[VGChartz Score]:[User Score]],Table1[[#This Row],[VGChartz Score]:[User Score]],"&lt;&gt;#N/A")</f>
        <v>8.5</v>
      </c>
    </row>
    <row r="431" spans="1:16" x14ac:dyDescent="0.2">
      <c r="A431">
        <f t="shared" si="8"/>
        <v>430</v>
      </c>
      <c r="B431">
        <v>130</v>
      </c>
      <c r="C431" t="s">
        <v>138</v>
      </c>
      <c r="D431" t="s">
        <v>1601</v>
      </c>
      <c r="E431" t="s">
        <v>1305</v>
      </c>
      <c r="F431" t="s">
        <v>240</v>
      </c>
      <c r="G431" t="e">
        <v>#N/A</v>
      </c>
      <c r="H431" t="e">
        <v>#N/A</v>
      </c>
      <c r="I431" t="e">
        <v>#N/A</v>
      </c>
      <c r="J431" s="2">
        <v>2.34</v>
      </c>
      <c r="K431" s="2" t="e">
        <v>#N/A</v>
      </c>
      <c r="L431" t="s">
        <v>1602</v>
      </c>
      <c r="M431" t="s">
        <v>1603</v>
      </c>
      <c r="N431">
        <f>2000+RIGHT(Table1[[#This Row],[Release Date]],2)</f>
        <v>2022</v>
      </c>
      <c r="O431">
        <f>_xlfn.MAXIFS(Table1[[#This Row],[Total Shipped]]:Table1[[#This Row],[Total Sales]],Table1[[#This Row],[Total Shipped]]:Table1[[#This Row],[Total Sales]],"&lt;&gt;#N/A")</f>
        <v>2.34</v>
      </c>
      <c r="P431">
        <f>_xlfn.MAXIFS(Table1[[#This Row],[VGChartz Score]:[User Score]],Table1[[#This Row],[VGChartz Score]:[User Score]],"&lt;&gt;#N/A")</f>
        <v>0</v>
      </c>
    </row>
    <row r="432" spans="1:16" hidden="1" x14ac:dyDescent="0.2">
      <c r="A432">
        <f t="shared" si="8"/>
        <v>431</v>
      </c>
      <c r="B432">
        <v>131</v>
      </c>
      <c r="C432" t="s">
        <v>138</v>
      </c>
      <c r="D432" t="s">
        <v>1604</v>
      </c>
      <c r="E432" t="s">
        <v>1305</v>
      </c>
      <c r="F432" t="s">
        <v>484</v>
      </c>
      <c r="G432" t="e">
        <v>#N/A</v>
      </c>
      <c r="H432">
        <v>7.6</v>
      </c>
      <c r="I432" t="e">
        <v>#N/A</v>
      </c>
      <c r="J432" s="1">
        <v>2.31</v>
      </c>
      <c r="K432" s="1" t="e">
        <v>#N/A</v>
      </c>
      <c r="L432" t="s">
        <v>1605</v>
      </c>
      <c r="M432" t="e">
        <v>#N/A</v>
      </c>
      <c r="N432">
        <f>2000+RIGHT(Table1[[#This Row],[Release Date]],2)</f>
        <v>2010</v>
      </c>
      <c r="O432">
        <f>_xlfn.MAXIFS(Table1[[#This Row],[Total Shipped]]:Table1[[#This Row],[Total Sales]],Table1[[#This Row],[Total Shipped]]:Table1[[#This Row],[Total Sales]],"&lt;&gt;#N/A")</f>
        <v>2.31</v>
      </c>
      <c r="P432">
        <f>_xlfn.MAXIFS(Table1[[#This Row],[VGChartz Score]:[User Score]],Table1[[#This Row],[VGChartz Score]:[User Score]],"&lt;&gt;#N/A")</f>
        <v>7.6</v>
      </c>
    </row>
    <row r="433" spans="1:16" hidden="1" x14ac:dyDescent="0.2">
      <c r="A433">
        <f t="shared" si="8"/>
        <v>432</v>
      </c>
      <c r="B433">
        <v>132</v>
      </c>
      <c r="C433" t="s">
        <v>138</v>
      </c>
      <c r="D433" t="s">
        <v>1606</v>
      </c>
      <c r="E433" t="s">
        <v>1305</v>
      </c>
      <c r="F433" t="s">
        <v>1607</v>
      </c>
      <c r="G433" t="e">
        <v>#N/A</v>
      </c>
      <c r="H433">
        <v>8.4</v>
      </c>
      <c r="I433" t="e">
        <v>#N/A</v>
      </c>
      <c r="J433" s="2">
        <v>2.31</v>
      </c>
      <c r="K433" s="2" t="e">
        <v>#N/A</v>
      </c>
      <c r="L433" t="s">
        <v>1608</v>
      </c>
      <c r="M433" t="s">
        <v>1609</v>
      </c>
      <c r="N433">
        <f>2000+RIGHT(Table1[[#This Row],[Release Date]],2)</f>
        <v>2013</v>
      </c>
      <c r="O433">
        <f>_xlfn.MAXIFS(Table1[[#This Row],[Total Shipped]]:Table1[[#This Row],[Total Sales]],Table1[[#This Row],[Total Shipped]]:Table1[[#This Row],[Total Sales]],"&lt;&gt;#N/A")</f>
        <v>2.31</v>
      </c>
      <c r="P433">
        <f>_xlfn.MAXIFS(Table1[[#This Row],[VGChartz Score]:[User Score]],Table1[[#This Row],[VGChartz Score]:[User Score]],"&lt;&gt;#N/A")</f>
        <v>8.4</v>
      </c>
    </row>
    <row r="434" spans="1:16" hidden="1" x14ac:dyDescent="0.2">
      <c r="A434">
        <f t="shared" si="8"/>
        <v>433</v>
      </c>
      <c r="B434">
        <v>133</v>
      </c>
      <c r="C434" t="s">
        <v>138</v>
      </c>
      <c r="D434" t="s">
        <v>1610</v>
      </c>
      <c r="E434" t="s">
        <v>1305</v>
      </c>
      <c r="F434" t="s">
        <v>1611</v>
      </c>
      <c r="G434" t="e">
        <v>#N/A</v>
      </c>
      <c r="H434" t="e">
        <v>#N/A</v>
      </c>
      <c r="I434" t="e">
        <v>#N/A</v>
      </c>
      <c r="J434" s="1">
        <v>2.2999999999999998</v>
      </c>
      <c r="K434" s="1" t="e">
        <v>#N/A</v>
      </c>
      <c r="L434" t="s">
        <v>1612</v>
      </c>
      <c r="M434" t="s">
        <v>1613</v>
      </c>
      <c r="N434">
        <f>2000+RIGHT(Table1[[#This Row],[Release Date]],2)</f>
        <v>2015</v>
      </c>
      <c r="O434">
        <f>_xlfn.MAXIFS(Table1[[#This Row],[Total Shipped]]:Table1[[#This Row],[Total Sales]],Table1[[#This Row],[Total Shipped]]:Table1[[#This Row],[Total Sales]],"&lt;&gt;#N/A")</f>
        <v>2.2999999999999998</v>
      </c>
      <c r="P434">
        <f>_xlfn.MAXIFS(Table1[[#This Row],[VGChartz Score]:[User Score]],Table1[[#This Row],[VGChartz Score]:[User Score]],"&lt;&gt;#N/A")</f>
        <v>0</v>
      </c>
    </row>
    <row r="435" spans="1:16" hidden="1" x14ac:dyDescent="0.2">
      <c r="A435">
        <f t="shared" si="8"/>
        <v>434</v>
      </c>
      <c r="B435">
        <v>134</v>
      </c>
      <c r="C435" t="s">
        <v>138</v>
      </c>
      <c r="D435" t="s">
        <v>1614</v>
      </c>
      <c r="E435" t="s">
        <v>1305</v>
      </c>
      <c r="F435" t="s">
        <v>597</v>
      </c>
      <c r="G435" t="e">
        <v>#N/A</v>
      </c>
      <c r="H435">
        <v>8.1999999999999993</v>
      </c>
      <c r="I435" t="e">
        <v>#N/A</v>
      </c>
      <c r="J435" s="2" t="e">
        <v>#N/A</v>
      </c>
      <c r="K435" s="2">
        <v>2.29</v>
      </c>
      <c r="L435" t="s">
        <v>1615</v>
      </c>
      <c r="M435" t="e">
        <v>#N/A</v>
      </c>
      <c r="N435">
        <f>2000+RIGHT(Table1[[#This Row],[Release Date]],2)</f>
        <v>2097</v>
      </c>
      <c r="O435">
        <f>_xlfn.MAXIFS(Table1[[#This Row],[Total Shipped]]:Table1[[#This Row],[Total Sales]],Table1[[#This Row],[Total Shipped]]:Table1[[#This Row],[Total Sales]],"&lt;&gt;#N/A")</f>
        <v>2.29</v>
      </c>
      <c r="P435">
        <f>_xlfn.MAXIFS(Table1[[#This Row],[VGChartz Score]:[User Score]],Table1[[#This Row],[VGChartz Score]:[User Score]],"&lt;&gt;#N/A")</f>
        <v>8.1999999999999993</v>
      </c>
    </row>
    <row r="436" spans="1:16" hidden="1" x14ac:dyDescent="0.2">
      <c r="A436">
        <f t="shared" si="8"/>
        <v>435</v>
      </c>
      <c r="B436">
        <v>135</v>
      </c>
      <c r="C436" t="s">
        <v>138</v>
      </c>
      <c r="D436" t="s">
        <v>1616</v>
      </c>
      <c r="E436" t="s">
        <v>1305</v>
      </c>
      <c r="F436" t="s">
        <v>1617</v>
      </c>
      <c r="G436" t="e">
        <v>#N/A</v>
      </c>
      <c r="H436" t="e">
        <v>#N/A</v>
      </c>
      <c r="I436" t="e">
        <v>#N/A</v>
      </c>
      <c r="J436" s="1">
        <v>2.2799999999999998</v>
      </c>
      <c r="K436" s="1" t="e">
        <v>#N/A</v>
      </c>
      <c r="L436" t="s">
        <v>385</v>
      </c>
      <c r="M436" t="s">
        <v>463</v>
      </c>
      <c r="N436">
        <f>2000+RIGHT(Table1[[#This Row],[Release Date]],2)</f>
        <v>2016</v>
      </c>
      <c r="O436">
        <f>_xlfn.MAXIFS(Table1[[#This Row],[Total Shipped]]:Table1[[#This Row],[Total Sales]],Table1[[#This Row],[Total Shipped]]:Table1[[#This Row],[Total Sales]],"&lt;&gt;#N/A")</f>
        <v>2.2799999999999998</v>
      </c>
      <c r="P436">
        <f>_xlfn.MAXIFS(Table1[[#This Row],[VGChartz Score]:[User Score]],Table1[[#This Row],[VGChartz Score]:[User Score]],"&lt;&gt;#N/A")</f>
        <v>0</v>
      </c>
    </row>
    <row r="437" spans="1:16" hidden="1" x14ac:dyDescent="0.2">
      <c r="A437">
        <f t="shared" si="8"/>
        <v>436</v>
      </c>
      <c r="B437">
        <v>136</v>
      </c>
      <c r="C437" t="s">
        <v>138</v>
      </c>
      <c r="D437" t="s">
        <v>1618</v>
      </c>
      <c r="E437" t="s">
        <v>1305</v>
      </c>
      <c r="F437" t="s">
        <v>1619</v>
      </c>
      <c r="G437" t="e">
        <v>#N/A</v>
      </c>
      <c r="H437" t="e">
        <v>#N/A</v>
      </c>
      <c r="I437" t="e">
        <v>#N/A</v>
      </c>
      <c r="J437" s="2">
        <v>2.27</v>
      </c>
      <c r="K437" s="2" t="e">
        <v>#N/A</v>
      </c>
      <c r="L437" t="s">
        <v>1620</v>
      </c>
      <c r="M437" t="s">
        <v>1252</v>
      </c>
      <c r="N437">
        <f>2000+RIGHT(Table1[[#This Row],[Release Date]],2)</f>
        <v>2016</v>
      </c>
      <c r="O437">
        <f>_xlfn.MAXIFS(Table1[[#This Row],[Total Shipped]]:Table1[[#This Row],[Total Sales]],Table1[[#This Row],[Total Shipped]]:Table1[[#This Row],[Total Sales]],"&lt;&gt;#N/A")</f>
        <v>2.27</v>
      </c>
      <c r="P437">
        <f>_xlfn.MAXIFS(Table1[[#This Row],[VGChartz Score]:[User Score]],Table1[[#This Row],[VGChartz Score]:[User Score]],"&lt;&gt;#N/A")</f>
        <v>0</v>
      </c>
    </row>
    <row r="438" spans="1:16" hidden="1" x14ac:dyDescent="0.2">
      <c r="A438">
        <f t="shared" si="8"/>
        <v>437</v>
      </c>
      <c r="B438">
        <v>137</v>
      </c>
      <c r="C438" t="s">
        <v>138</v>
      </c>
      <c r="D438" t="s">
        <v>1621</v>
      </c>
      <c r="E438" t="s">
        <v>1305</v>
      </c>
      <c r="F438" t="s">
        <v>324</v>
      </c>
      <c r="G438" t="e">
        <v>#N/A</v>
      </c>
      <c r="H438">
        <v>9</v>
      </c>
      <c r="I438" t="e">
        <v>#N/A</v>
      </c>
      <c r="J438" s="1">
        <v>2.25</v>
      </c>
      <c r="K438" s="1" t="e">
        <v>#N/A</v>
      </c>
      <c r="L438" t="s">
        <v>1622</v>
      </c>
      <c r="M438" t="e">
        <v>#N/A</v>
      </c>
      <c r="N438">
        <f>2000+RIGHT(Table1[[#This Row],[Release Date]],2)</f>
        <v>2005</v>
      </c>
      <c r="O438">
        <f>_xlfn.MAXIFS(Table1[[#This Row],[Total Shipped]]:Table1[[#This Row],[Total Sales]],Table1[[#This Row],[Total Shipped]]:Table1[[#This Row],[Total Sales]],"&lt;&gt;#N/A")</f>
        <v>2.25</v>
      </c>
      <c r="P438">
        <f>_xlfn.MAXIFS(Table1[[#This Row],[VGChartz Score]:[User Score]],Table1[[#This Row],[VGChartz Score]:[User Score]],"&lt;&gt;#N/A")</f>
        <v>9</v>
      </c>
    </row>
    <row r="439" spans="1:16" hidden="1" x14ac:dyDescent="0.2">
      <c r="A439">
        <f t="shared" si="8"/>
        <v>438</v>
      </c>
      <c r="B439">
        <v>138</v>
      </c>
      <c r="C439" t="s">
        <v>138</v>
      </c>
      <c r="D439" t="s">
        <v>596</v>
      </c>
      <c r="E439" t="s">
        <v>1305</v>
      </c>
      <c r="F439" t="s">
        <v>597</v>
      </c>
      <c r="G439" t="e">
        <v>#N/A</v>
      </c>
      <c r="H439">
        <v>9.3000000000000007</v>
      </c>
      <c r="I439" t="e">
        <v>#N/A</v>
      </c>
      <c r="J439" s="2">
        <v>2.2400000000000002</v>
      </c>
      <c r="K439" s="2" t="e">
        <v>#N/A</v>
      </c>
      <c r="L439" t="s">
        <v>650</v>
      </c>
      <c r="M439" t="e">
        <v>#N/A</v>
      </c>
      <c r="N439">
        <f>2000+RIGHT(Table1[[#This Row],[Release Date]],2)</f>
        <v>2009</v>
      </c>
      <c r="O439">
        <f>_xlfn.MAXIFS(Table1[[#This Row],[Total Shipped]]:Table1[[#This Row],[Total Sales]],Table1[[#This Row],[Total Shipped]]:Table1[[#This Row],[Total Sales]],"&lt;&gt;#N/A")</f>
        <v>2.2400000000000002</v>
      </c>
      <c r="P439">
        <f>_xlfn.MAXIFS(Table1[[#This Row],[VGChartz Score]:[User Score]],Table1[[#This Row],[VGChartz Score]:[User Score]],"&lt;&gt;#N/A")</f>
        <v>9.3000000000000007</v>
      </c>
    </row>
    <row r="440" spans="1:16" hidden="1" x14ac:dyDescent="0.2">
      <c r="A440">
        <f t="shared" si="8"/>
        <v>439</v>
      </c>
      <c r="B440">
        <v>139</v>
      </c>
      <c r="C440" t="s">
        <v>138</v>
      </c>
      <c r="D440" t="s">
        <v>1623</v>
      </c>
      <c r="E440" t="s">
        <v>1305</v>
      </c>
      <c r="F440" t="s">
        <v>1624</v>
      </c>
      <c r="G440" t="e">
        <v>#N/A</v>
      </c>
      <c r="H440" t="e">
        <v>#N/A</v>
      </c>
      <c r="I440" t="e">
        <v>#N/A</v>
      </c>
      <c r="J440" s="1">
        <v>2.21</v>
      </c>
      <c r="K440" s="1" t="e">
        <v>#N/A</v>
      </c>
      <c r="L440" t="s">
        <v>1625</v>
      </c>
      <c r="M440" t="s">
        <v>1147</v>
      </c>
      <c r="N440">
        <f>2000+RIGHT(Table1[[#This Row],[Release Date]],2)</f>
        <v>2016</v>
      </c>
      <c r="O440">
        <f>_xlfn.MAXIFS(Table1[[#This Row],[Total Shipped]]:Table1[[#This Row],[Total Sales]],Table1[[#This Row],[Total Shipped]]:Table1[[#This Row],[Total Sales]],"&lt;&gt;#N/A")</f>
        <v>2.21</v>
      </c>
      <c r="P440">
        <f>_xlfn.MAXIFS(Table1[[#This Row],[VGChartz Score]:[User Score]],Table1[[#This Row],[VGChartz Score]:[User Score]],"&lt;&gt;#N/A")</f>
        <v>0</v>
      </c>
    </row>
    <row r="441" spans="1:16" hidden="1" x14ac:dyDescent="0.2">
      <c r="A441">
        <f t="shared" si="8"/>
        <v>440</v>
      </c>
      <c r="B441">
        <v>140</v>
      </c>
      <c r="C441" t="s">
        <v>138</v>
      </c>
      <c r="D441" t="s">
        <v>1626</v>
      </c>
      <c r="E441" t="s">
        <v>1305</v>
      </c>
      <c r="F441" t="s">
        <v>1627</v>
      </c>
      <c r="G441" t="e">
        <v>#N/A</v>
      </c>
      <c r="H441" t="e">
        <v>#N/A</v>
      </c>
      <c r="I441" t="e">
        <v>#N/A</v>
      </c>
      <c r="J441" s="2">
        <v>2.2000000000000002</v>
      </c>
      <c r="K441" s="2" t="e">
        <v>#N/A</v>
      </c>
      <c r="L441" t="s">
        <v>1628</v>
      </c>
      <c r="M441" t="s">
        <v>1629</v>
      </c>
      <c r="N441">
        <f>2000+RIGHT(Table1[[#This Row],[Release Date]],2)</f>
        <v>2024</v>
      </c>
      <c r="O441">
        <f>_xlfn.MAXIFS(Table1[[#This Row],[Total Shipped]]:Table1[[#This Row],[Total Sales]],Table1[[#This Row],[Total Shipped]]:Table1[[#This Row],[Total Sales]],"&lt;&gt;#N/A")</f>
        <v>2.2000000000000002</v>
      </c>
      <c r="P441">
        <f>_xlfn.MAXIFS(Table1[[#This Row],[VGChartz Score]:[User Score]],Table1[[#This Row],[VGChartz Score]:[User Score]],"&lt;&gt;#N/A")</f>
        <v>0</v>
      </c>
    </row>
    <row r="442" spans="1:16" hidden="1" x14ac:dyDescent="0.2">
      <c r="A442">
        <f t="shared" si="8"/>
        <v>441</v>
      </c>
      <c r="B442">
        <v>141</v>
      </c>
      <c r="C442" t="s">
        <v>138</v>
      </c>
      <c r="D442" t="s">
        <v>1630</v>
      </c>
      <c r="E442" t="s">
        <v>1305</v>
      </c>
      <c r="F442" t="s">
        <v>844</v>
      </c>
      <c r="G442" t="e">
        <v>#N/A</v>
      </c>
      <c r="H442">
        <v>8.6999999999999993</v>
      </c>
      <c r="I442" t="e">
        <v>#N/A</v>
      </c>
      <c r="J442" s="1">
        <v>2.2000000000000002</v>
      </c>
      <c r="K442" s="1" t="e">
        <v>#N/A</v>
      </c>
      <c r="L442" t="s">
        <v>1631</v>
      </c>
      <c r="M442" t="e">
        <v>#N/A</v>
      </c>
      <c r="N442">
        <f>2000+RIGHT(Table1[[#This Row],[Release Date]],2)</f>
        <v>2002</v>
      </c>
      <c r="O442">
        <f>_xlfn.MAXIFS(Table1[[#This Row],[Total Shipped]]:Table1[[#This Row],[Total Sales]],Table1[[#This Row],[Total Shipped]]:Table1[[#This Row],[Total Sales]],"&lt;&gt;#N/A")</f>
        <v>2.2000000000000002</v>
      </c>
      <c r="P442">
        <f>_xlfn.MAXIFS(Table1[[#This Row],[VGChartz Score]:[User Score]],Table1[[#This Row],[VGChartz Score]:[User Score]],"&lt;&gt;#N/A")</f>
        <v>8.6999999999999993</v>
      </c>
    </row>
    <row r="443" spans="1:16" hidden="1" x14ac:dyDescent="0.2">
      <c r="A443">
        <f t="shared" si="8"/>
        <v>442</v>
      </c>
      <c r="B443">
        <v>142</v>
      </c>
      <c r="C443" t="s">
        <v>138</v>
      </c>
      <c r="D443" t="s">
        <v>1632</v>
      </c>
      <c r="E443" t="s">
        <v>1305</v>
      </c>
      <c r="F443" t="s">
        <v>1633</v>
      </c>
      <c r="G443" t="e">
        <v>#N/A</v>
      </c>
      <c r="H443" t="e">
        <v>#N/A</v>
      </c>
      <c r="I443" t="e">
        <v>#N/A</v>
      </c>
      <c r="J443" s="2" t="e">
        <v>#N/A</v>
      </c>
      <c r="K443" s="2">
        <v>2.16</v>
      </c>
      <c r="L443" t="s">
        <v>1563</v>
      </c>
      <c r="M443" t="e">
        <v>#N/A</v>
      </c>
      <c r="N443">
        <f>2000+RIGHT(Table1[[#This Row],[Release Date]],2)</f>
        <v>2001</v>
      </c>
      <c r="O443">
        <f>_xlfn.MAXIFS(Table1[[#This Row],[Total Shipped]]:Table1[[#This Row],[Total Sales]],Table1[[#This Row],[Total Shipped]]:Table1[[#This Row],[Total Sales]],"&lt;&gt;#N/A")</f>
        <v>2.16</v>
      </c>
      <c r="P443">
        <f>_xlfn.MAXIFS(Table1[[#This Row],[VGChartz Score]:[User Score]],Table1[[#This Row],[VGChartz Score]:[User Score]],"&lt;&gt;#N/A")</f>
        <v>0</v>
      </c>
    </row>
    <row r="444" spans="1:16" hidden="1" x14ac:dyDescent="0.2">
      <c r="A444">
        <f t="shared" si="8"/>
        <v>443</v>
      </c>
      <c r="B444">
        <v>143</v>
      </c>
      <c r="C444" t="s">
        <v>138</v>
      </c>
      <c r="D444" t="s">
        <v>1634</v>
      </c>
      <c r="E444" t="s">
        <v>1305</v>
      </c>
      <c r="F444" t="s">
        <v>1523</v>
      </c>
      <c r="G444" t="e">
        <v>#N/A</v>
      </c>
      <c r="H444" t="e">
        <v>#N/A</v>
      </c>
      <c r="I444" t="e">
        <v>#N/A</v>
      </c>
      <c r="J444" s="1">
        <v>2.15</v>
      </c>
      <c r="K444" s="1" t="e">
        <v>#N/A</v>
      </c>
      <c r="L444" t="e">
        <v>#N/A</v>
      </c>
      <c r="M444" t="s">
        <v>1252</v>
      </c>
      <c r="N444" t="e">
        <f>2000+RIGHT(Table1[[#This Row],[Release Date]],2)</f>
        <v>#N/A</v>
      </c>
      <c r="O444">
        <f>_xlfn.MAXIFS(Table1[[#This Row],[Total Shipped]]:Table1[[#This Row],[Total Sales]],Table1[[#This Row],[Total Shipped]]:Table1[[#This Row],[Total Sales]],"&lt;&gt;#N/A")</f>
        <v>2.15</v>
      </c>
      <c r="P444">
        <f>_xlfn.MAXIFS(Table1[[#This Row],[VGChartz Score]:[User Score]],Table1[[#This Row],[VGChartz Score]:[User Score]],"&lt;&gt;#N/A")</f>
        <v>0</v>
      </c>
    </row>
    <row r="445" spans="1:16" hidden="1" x14ac:dyDescent="0.2">
      <c r="A445">
        <f t="shared" si="8"/>
        <v>444</v>
      </c>
      <c r="B445">
        <v>144</v>
      </c>
      <c r="C445" t="s">
        <v>138</v>
      </c>
      <c r="D445" t="s">
        <v>1635</v>
      </c>
      <c r="E445" t="s">
        <v>1305</v>
      </c>
      <c r="F445" t="s">
        <v>1636</v>
      </c>
      <c r="G445">
        <v>7.3</v>
      </c>
      <c r="H445" t="e">
        <v>#N/A</v>
      </c>
      <c r="I445" t="e">
        <v>#N/A</v>
      </c>
      <c r="J445" s="2">
        <v>2.15</v>
      </c>
      <c r="K445" s="2" t="e">
        <v>#N/A</v>
      </c>
      <c r="L445" t="s">
        <v>1427</v>
      </c>
      <c r="M445" t="e">
        <v>#N/A</v>
      </c>
      <c r="N445">
        <f>2000+RIGHT(Table1[[#This Row],[Release Date]],2)</f>
        <v>2014</v>
      </c>
      <c r="O445">
        <f>_xlfn.MAXIFS(Table1[[#This Row],[Total Shipped]]:Table1[[#This Row],[Total Sales]],Table1[[#This Row],[Total Shipped]]:Table1[[#This Row],[Total Sales]],"&lt;&gt;#N/A")</f>
        <v>2.15</v>
      </c>
      <c r="P445">
        <f>_xlfn.MAXIFS(Table1[[#This Row],[VGChartz Score]:[User Score]],Table1[[#This Row],[VGChartz Score]:[User Score]],"&lt;&gt;#N/A")</f>
        <v>7.3</v>
      </c>
    </row>
    <row r="446" spans="1:16" hidden="1" x14ac:dyDescent="0.2">
      <c r="A446">
        <f t="shared" si="8"/>
        <v>445</v>
      </c>
      <c r="B446">
        <v>145</v>
      </c>
      <c r="C446" t="s">
        <v>138</v>
      </c>
      <c r="D446" t="s">
        <v>1637</v>
      </c>
      <c r="E446" t="s">
        <v>1305</v>
      </c>
      <c r="F446" t="s">
        <v>1633</v>
      </c>
      <c r="G446" t="e">
        <v>#N/A</v>
      </c>
      <c r="H446">
        <v>8</v>
      </c>
      <c r="I446" t="e">
        <v>#N/A</v>
      </c>
      <c r="J446" s="1" t="e">
        <v>#N/A</v>
      </c>
      <c r="K446" s="1">
        <v>2.14</v>
      </c>
      <c r="L446" t="s">
        <v>1638</v>
      </c>
      <c r="M446" t="e">
        <v>#N/A</v>
      </c>
      <c r="N446">
        <f>2000+RIGHT(Table1[[#This Row],[Release Date]],2)</f>
        <v>2093</v>
      </c>
      <c r="O446">
        <f>_xlfn.MAXIFS(Table1[[#This Row],[Total Shipped]]:Table1[[#This Row],[Total Sales]],Table1[[#This Row],[Total Shipped]]:Table1[[#This Row],[Total Sales]],"&lt;&gt;#N/A")</f>
        <v>2.14</v>
      </c>
      <c r="P446">
        <f>_xlfn.MAXIFS(Table1[[#This Row],[VGChartz Score]:[User Score]],Table1[[#This Row],[VGChartz Score]:[User Score]],"&lt;&gt;#N/A")</f>
        <v>8</v>
      </c>
    </row>
    <row r="447" spans="1:16" hidden="1" x14ac:dyDescent="0.2">
      <c r="A447">
        <f t="shared" si="8"/>
        <v>446</v>
      </c>
      <c r="B447">
        <v>146</v>
      </c>
      <c r="C447" t="s">
        <v>138</v>
      </c>
      <c r="D447" t="s">
        <v>1639</v>
      </c>
      <c r="E447" t="s">
        <v>1305</v>
      </c>
      <c r="F447" t="s">
        <v>240</v>
      </c>
      <c r="G447" t="e">
        <v>#N/A</v>
      </c>
      <c r="H447" t="e">
        <v>#N/A</v>
      </c>
      <c r="I447" t="e">
        <v>#N/A</v>
      </c>
      <c r="J447" s="2">
        <v>2.09</v>
      </c>
      <c r="K447" s="2" t="e">
        <v>#N/A</v>
      </c>
      <c r="L447" t="s">
        <v>393</v>
      </c>
      <c r="M447" t="s">
        <v>1640</v>
      </c>
      <c r="N447">
        <f>2000+RIGHT(Table1[[#This Row],[Release Date]],2)</f>
        <v>2016</v>
      </c>
      <c r="O447">
        <f>_xlfn.MAXIFS(Table1[[#This Row],[Total Shipped]]:Table1[[#This Row],[Total Sales]],Table1[[#This Row],[Total Shipped]]:Table1[[#This Row],[Total Sales]],"&lt;&gt;#N/A")</f>
        <v>2.09</v>
      </c>
      <c r="P447">
        <f>_xlfn.MAXIFS(Table1[[#This Row],[VGChartz Score]:[User Score]],Table1[[#This Row],[VGChartz Score]:[User Score]],"&lt;&gt;#N/A")</f>
        <v>0</v>
      </c>
    </row>
    <row r="448" spans="1:16" hidden="1" x14ac:dyDescent="0.2">
      <c r="A448">
        <f t="shared" si="8"/>
        <v>447</v>
      </c>
      <c r="B448">
        <v>147</v>
      </c>
      <c r="C448" t="s">
        <v>138</v>
      </c>
      <c r="D448" t="s">
        <v>1641</v>
      </c>
      <c r="E448" t="s">
        <v>1305</v>
      </c>
      <c r="F448" t="s">
        <v>324</v>
      </c>
      <c r="G448" t="e">
        <v>#N/A</v>
      </c>
      <c r="H448">
        <v>8.1</v>
      </c>
      <c r="I448" t="e">
        <v>#N/A</v>
      </c>
      <c r="J448" s="1" t="e">
        <v>#N/A</v>
      </c>
      <c r="K448" s="1">
        <v>2.08</v>
      </c>
      <c r="L448" t="s">
        <v>1642</v>
      </c>
      <c r="M448" t="e">
        <v>#N/A</v>
      </c>
      <c r="N448">
        <f>2000+RIGHT(Table1[[#This Row],[Release Date]],2)</f>
        <v>2099</v>
      </c>
      <c r="O448">
        <f>_xlfn.MAXIFS(Table1[[#This Row],[Total Shipped]]:Table1[[#This Row],[Total Sales]],Table1[[#This Row],[Total Shipped]]:Table1[[#This Row],[Total Sales]],"&lt;&gt;#N/A")</f>
        <v>2.08</v>
      </c>
      <c r="P448">
        <f>_xlfn.MAXIFS(Table1[[#This Row],[VGChartz Score]:[User Score]],Table1[[#This Row],[VGChartz Score]:[User Score]],"&lt;&gt;#N/A")</f>
        <v>8.1</v>
      </c>
    </row>
    <row r="449" spans="1:16" hidden="1" x14ac:dyDescent="0.2">
      <c r="A449">
        <f t="shared" si="8"/>
        <v>448</v>
      </c>
      <c r="B449">
        <v>148</v>
      </c>
      <c r="C449" t="s">
        <v>138</v>
      </c>
      <c r="D449" t="s">
        <v>1643</v>
      </c>
      <c r="E449" t="s">
        <v>1305</v>
      </c>
      <c r="F449" t="s">
        <v>257</v>
      </c>
      <c r="G449" t="e">
        <v>#N/A</v>
      </c>
      <c r="H449">
        <v>7</v>
      </c>
      <c r="I449" t="e">
        <v>#N/A</v>
      </c>
      <c r="J449" s="2">
        <v>2.0299999999999998</v>
      </c>
      <c r="K449" s="2" t="e">
        <v>#N/A</v>
      </c>
      <c r="L449" t="s">
        <v>1226</v>
      </c>
      <c r="M449" t="e">
        <v>#N/A</v>
      </c>
      <c r="N449">
        <f>2000+RIGHT(Table1[[#This Row],[Release Date]],2)</f>
        <v>2011</v>
      </c>
      <c r="O449">
        <f>_xlfn.MAXIFS(Table1[[#This Row],[Total Shipped]]:Table1[[#This Row],[Total Sales]],Table1[[#This Row],[Total Shipped]]:Table1[[#This Row],[Total Sales]],"&lt;&gt;#N/A")</f>
        <v>2.0299999999999998</v>
      </c>
      <c r="P449">
        <f>_xlfn.MAXIFS(Table1[[#This Row],[VGChartz Score]:[User Score]],Table1[[#This Row],[VGChartz Score]:[User Score]],"&lt;&gt;#N/A")</f>
        <v>7</v>
      </c>
    </row>
    <row r="450" spans="1:16" hidden="1" x14ac:dyDescent="0.2">
      <c r="A450">
        <f t="shared" si="8"/>
        <v>449</v>
      </c>
      <c r="B450">
        <v>149</v>
      </c>
      <c r="C450" t="s">
        <v>138</v>
      </c>
      <c r="D450" t="s">
        <v>1644</v>
      </c>
      <c r="E450" t="s">
        <v>1305</v>
      </c>
      <c r="F450" t="s">
        <v>1523</v>
      </c>
      <c r="G450" t="e">
        <v>#N/A</v>
      </c>
      <c r="H450" t="e">
        <v>#N/A</v>
      </c>
      <c r="I450" t="e">
        <v>#N/A</v>
      </c>
      <c r="J450" s="1">
        <v>2.0099999999999998</v>
      </c>
      <c r="K450" s="1" t="e">
        <v>#N/A</v>
      </c>
      <c r="L450" t="e">
        <v>#N/A</v>
      </c>
      <c r="M450" t="s">
        <v>1252</v>
      </c>
      <c r="N450" t="e">
        <f>2000+RIGHT(Table1[[#This Row],[Release Date]],2)</f>
        <v>#N/A</v>
      </c>
      <c r="O450">
        <f>_xlfn.MAXIFS(Table1[[#This Row],[Total Shipped]]:Table1[[#This Row],[Total Sales]],Table1[[#This Row],[Total Shipped]]:Table1[[#This Row],[Total Sales]],"&lt;&gt;#N/A")</f>
        <v>2.0099999999999998</v>
      </c>
      <c r="P450">
        <f>_xlfn.MAXIFS(Table1[[#This Row],[VGChartz Score]:[User Score]],Table1[[#This Row],[VGChartz Score]:[User Score]],"&lt;&gt;#N/A")</f>
        <v>0</v>
      </c>
    </row>
    <row r="451" spans="1:16" hidden="1" x14ac:dyDescent="0.2">
      <c r="A451">
        <f t="shared" si="8"/>
        <v>450</v>
      </c>
      <c r="B451">
        <v>150</v>
      </c>
      <c r="C451" t="s">
        <v>138</v>
      </c>
      <c r="D451" t="s">
        <v>1645</v>
      </c>
      <c r="E451" t="s">
        <v>1305</v>
      </c>
      <c r="F451" t="s">
        <v>1646</v>
      </c>
      <c r="G451" t="e">
        <v>#N/A</v>
      </c>
      <c r="H451" t="e">
        <v>#N/A</v>
      </c>
      <c r="I451" t="e">
        <v>#N/A</v>
      </c>
      <c r="J451" s="2">
        <v>2</v>
      </c>
      <c r="K451" s="2" t="e">
        <v>#N/A</v>
      </c>
      <c r="L451" t="s">
        <v>1647</v>
      </c>
      <c r="M451" t="s">
        <v>1252</v>
      </c>
      <c r="N451">
        <f>2000+RIGHT(Table1[[#This Row],[Release Date]],2)</f>
        <v>2020</v>
      </c>
      <c r="O451">
        <f>_xlfn.MAXIFS(Table1[[#This Row],[Total Shipped]]:Table1[[#This Row],[Total Sales]],Table1[[#This Row],[Total Shipped]]:Table1[[#This Row],[Total Sales]],"&lt;&gt;#N/A")</f>
        <v>2</v>
      </c>
      <c r="P451">
        <f>_xlfn.MAXIFS(Table1[[#This Row],[VGChartz Score]:[User Score]],Table1[[#This Row],[VGChartz Score]:[User Score]],"&lt;&gt;#N/A")</f>
        <v>0</v>
      </c>
    </row>
    <row r="452" spans="1:16" hidden="1" x14ac:dyDescent="0.2">
      <c r="A452">
        <f t="shared" si="8"/>
        <v>451</v>
      </c>
      <c r="B452">
        <v>151</v>
      </c>
      <c r="C452" t="s">
        <v>138</v>
      </c>
      <c r="D452" t="s">
        <v>1648</v>
      </c>
      <c r="E452" t="s">
        <v>1305</v>
      </c>
      <c r="F452" t="s">
        <v>324</v>
      </c>
      <c r="G452" t="e">
        <v>#N/A</v>
      </c>
      <c r="H452" t="e">
        <v>#N/A</v>
      </c>
      <c r="I452" t="e">
        <v>#N/A</v>
      </c>
      <c r="J452" s="1">
        <v>2</v>
      </c>
      <c r="K452" s="1" t="e">
        <v>#N/A</v>
      </c>
      <c r="L452" t="s">
        <v>1649</v>
      </c>
      <c r="M452" t="e">
        <v>#N/A</v>
      </c>
      <c r="N452">
        <f>2000+RIGHT(Table1[[#This Row],[Release Date]],2)</f>
        <v>2003</v>
      </c>
      <c r="O452">
        <f>_xlfn.MAXIFS(Table1[[#This Row],[Total Shipped]]:Table1[[#This Row],[Total Sales]],Table1[[#This Row],[Total Shipped]]:Table1[[#This Row],[Total Sales]],"&lt;&gt;#N/A")</f>
        <v>2</v>
      </c>
      <c r="P452">
        <f>_xlfn.MAXIFS(Table1[[#This Row],[VGChartz Score]:[User Score]],Table1[[#This Row],[VGChartz Score]:[User Score]],"&lt;&gt;#N/A")</f>
        <v>0</v>
      </c>
    </row>
    <row r="453" spans="1:16" hidden="1" x14ac:dyDescent="0.2">
      <c r="A453">
        <f t="shared" si="8"/>
        <v>452</v>
      </c>
      <c r="B453">
        <v>152</v>
      </c>
      <c r="C453" t="s">
        <v>138</v>
      </c>
      <c r="D453" t="s">
        <v>1650</v>
      </c>
      <c r="E453" t="s">
        <v>1305</v>
      </c>
      <c r="F453" t="s">
        <v>1392</v>
      </c>
      <c r="G453" t="e">
        <v>#N/A</v>
      </c>
      <c r="H453">
        <v>9.3000000000000007</v>
      </c>
      <c r="I453" t="e">
        <v>#N/A</v>
      </c>
      <c r="J453" s="2">
        <v>2</v>
      </c>
      <c r="K453" s="2" t="e">
        <v>#N/A</v>
      </c>
      <c r="L453" t="s">
        <v>1651</v>
      </c>
      <c r="M453" t="e">
        <v>#N/A</v>
      </c>
      <c r="N453">
        <f>2000+RIGHT(Table1[[#This Row],[Release Date]],2)</f>
        <v>2099</v>
      </c>
      <c r="O453">
        <f>_xlfn.MAXIFS(Table1[[#This Row],[Total Shipped]]:Table1[[#This Row],[Total Sales]],Table1[[#This Row],[Total Shipped]]:Table1[[#This Row],[Total Sales]],"&lt;&gt;#N/A")</f>
        <v>2</v>
      </c>
      <c r="P453">
        <f>_xlfn.MAXIFS(Table1[[#This Row],[VGChartz Score]:[User Score]],Table1[[#This Row],[VGChartz Score]:[User Score]],"&lt;&gt;#N/A")</f>
        <v>9.3000000000000007</v>
      </c>
    </row>
    <row r="454" spans="1:16" hidden="1" x14ac:dyDescent="0.2">
      <c r="A454">
        <f t="shared" si="8"/>
        <v>453</v>
      </c>
      <c r="B454">
        <v>153</v>
      </c>
      <c r="C454" t="s">
        <v>138</v>
      </c>
      <c r="D454" t="s">
        <v>1652</v>
      </c>
      <c r="E454" t="s">
        <v>1305</v>
      </c>
      <c r="F454" t="s">
        <v>1653</v>
      </c>
      <c r="G454" t="e">
        <v>#N/A</v>
      </c>
      <c r="H454">
        <v>8.3000000000000007</v>
      </c>
      <c r="I454" t="e">
        <v>#N/A</v>
      </c>
      <c r="J454" s="1">
        <v>2</v>
      </c>
      <c r="K454" s="1" t="e">
        <v>#N/A</v>
      </c>
      <c r="L454" t="s">
        <v>1654</v>
      </c>
      <c r="M454" t="e">
        <v>#N/A</v>
      </c>
      <c r="N454">
        <f>2000+RIGHT(Table1[[#This Row],[Release Date]],2)</f>
        <v>2005</v>
      </c>
      <c r="O454">
        <f>_xlfn.MAXIFS(Table1[[#This Row],[Total Shipped]]:Table1[[#This Row],[Total Sales]],Table1[[#This Row],[Total Shipped]]:Table1[[#This Row],[Total Sales]],"&lt;&gt;#N/A")</f>
        <v>2</v>
      </c>
      <c r="P454">
        <f>_xlfn.MAXIFS(Table1[[#This Row],[VGChartz Score]:[User Score]],Table1[[#This Row],[VGChartz Score]:[User Score]],"&lt;&gt;#N/A")</f>
        <v>8.3000000000000007</v>
      </c>
    </row>
    <row r="455" spans="1:16" hidden="1" x14ac:dyDescent="0.2">
      <c r="A455">
        <f t="shared" si="8"/>
        <v>454</v>
      </c>
      <c r="B455">
        <v>154</v>
      </c>
      <c r="C455" t="s">
        <v>138</v>
      </c>
      <c r="D455" t="s">
        <v>1655</v>
      </c>
      <c r="E455" t="s">
        <v>1305</v>
      </c>
      <c r="F455" t="s">
        <v>1539</v>
      </c>
      <c r="G455" t="e">
        <v>#N/A</v>
      </c>
      <c r="H455">
        <v>9.5</v>
      </c>
      <c r="I455" t="e">
        <v>#N/A</v>
      </c>
      <c r="J455" s="2">
        <v>2</v>
      </c>
      <c r="K455" s="2" t="e">
        <v>#N/A</v>
      </c>
      <c r="L455" t="s">
        <v>1656</v>
      </c>
      <c r="M455" t="e">
        <v>#N/A</v>
      </c>
      <c r="N455">
        <f>2000+RIGHT(Table1[[#This Row],[Release Date]],2)</f>
        <v>2000</v>
      </c>
      <c r="O455">
        <f>_xlfn.MAXIFS(Table1[[#This Row],[Total Shipped]]:Table1[[#This Row],[Total Sales]],Table1[[#This Row],[Total Shipped]]:Table1[[#This Row],[Total Sales]],"&lt;&gt;#N/A")</f>
        <v>2</v>
      </c>
      <c r="P455">
        <f>_xlfn.MAXIFS(Table1[[#This Row],[VGChartz Score]:[User Score]],Table1[[#This Row],[VGChartz Score]:[User Score]],"&lt;&gt;#N/A")</f>
        <v>9.5</v>
      </c>
    </row>
    <row r="456" spans="1:16" hidden="1" x14ac:dyDescent="0.2">
      <c r="A456">
        <f t="shared" si="8"/>
        <v>455</v>
      </c>
      <c r="B456">
        <v>155</v>
      </c>
      <c r="C456" t="s">
        <v>138</v>
      </c>
      <c r="D456" t="s">
        <v>1657</v>
      </c>
      <c r="E456" t="s">
        <v>1305</v>
      </c>
      <c r="F456" t="s">
        <v>1658</v>
      </c>
      <c r="G456" t="e">
        <v>#N/A</v>
      </c>
      <c r="H456" t="e">
        <v>#N/A</v>
      </c>
      <c r="I456" t="e">
        <v>#N/A</v>
      </c>
      <c r="J456" s="1">
        <v>2</v>
      </c>
      <c r="K456" s="1" t="e">
        <v>#N/A</v>
      </c>
      <c r="L456" t="s">
        <v>1659</v>
      </c>
      <c r="M456" t="s">
        <v>1660</v>
      </c>
      <c r="N456">
        <f>2000+RIGHT(Table1[[#This Row],[Release Date]],2)</f>
        <v>2012</v>
      </c>
      <c r="O456">
        <f>_xlfn.MAXIFS(Table1[[#This Row],[Total Shipped]]:Table1[[#This Row],[Total Sales]],Table1[[#This Row],[Total Shipped]]:Table1[[#This Row],[Total Sales]],"&lt;&gt;#N/A")</f>
        <v>2</v>
      </c>
      <c r="P456">
        <f>_xlfn.MAXIFS(Table1[[#This Row],[VGChartz Score]:[User Score]],Table1[[#This Row],[VGChartz Score]:[User Score]],"&lt;&gt;#N/A")</f>
        <v>0</v>
      </c>
    </row>
    <row r="457" spans="1:16" hidden="1" x14ac:dyDescent="0.2">
      <c r="A457">
        <f t="shared" si="8"/>
        <v>456</v>
      </c>
      <c r="B457">
        <v>156</v>
      </c>
      <c r="C457" t="s">
        <v>138</v>
      </c>
      <c r="D457" t="s">
        <v>1661</v>
      </c>
      <c r="E457" t="s">
        <v>1305</v>
      </c>
      <c r="F457" t="s">
        <v>1662</v>
      </c>
      <c r="G457" t="e">
        <v>#N/A</v>
      </c>
      <c r="H457">
        <v>9.3000000000000007</v>
      </c>
      <c r="I457" t="e">
        <v>#N/A</v>
      </c>
      <c r="J457" s="2">
        <v>2</v>
      </c>
      <c r="K457" s="2" t="e">
        <v>#N/A</v>
      </c>
      <c r="L457" t="s">
        <v>1663</v>
      </c>
      <c r="M457" t="e">
        <v>#N/A</v>
      </c>
      <c r="N457">
        <f>2000+RIGHT(Table1[[#This Row],[Release Date]],2)</f>
        <v>2096</v>
      </c>
      <c r="O457">
        <f>_xlfn.MAXIFS(Table1[[#This Row],[Total Shipped]]:Table1[[#This Row],[Total Sales]],Table1[[#This Row],[Total Shipped]]:Table1[[#This Row],[Total Sales]],"&lt;&gt;#N/A")</f>
        <v>2</v>
      </c>
      <c r="P457">
        <f>_xlfn.MAXIFS(Table1[[#This Row],[VGChartz Score]:[User Score]],Table1[[#This Row],[VGChartz Score]:[User Score]],"&lt;&gt;#N/A")</f>
        <v>9.3000000000000007</v>
      </c>
    </row>
    <row r="458" spans="1:16" hidden="1" x14ac:dyDescent="0.2">
      <c r="A458">
        <f t="shared" si="8"/>
        <v>457</v>
      </c>
      <c r="B458">
        <v>157</v>
      </c>
      <c r="C458" t="s">
        <v>138</v>
      </c>
      <c r="D458" t="s">
        <v>1664</v>
      </c>
      <c r="E458" t="s">
        <v>1305</v>
      </c>
      <c r="F458" t="s">
        <v>1395</v>
      </c>
      <c r="G458" t="e">
        <v>#N/A</v>
      </c>
      <c r="H458" t="e">
        <v>#N/A</v>
      </c>
      <c r="I458" t="e">
        <v>#N/A</v>
      </c>
      <c r="J458" s="1">
        <v>2</v>
      </c>
      <c r="K458" s="1" t="e">
        <v>#N/A</v>
      </c>
      <c r="L458" t="s">
        <v>1665</v>
      </c>
      <c r="M458" t="s">
        <v>237</v>
      </c>
      <c r="N458">
        <f>2000+RIGHT(Table1[[#This Row],[Release Date]],2)</f>
        <v>2020</v>
      </c>
      <c r="O458">
        <f>_xlfn.MAXIFS(Table1[[#This Row],[Total Shipped]]:Table1[[#This Row],[Total Sales]],Table1[[#This Row],[Total Shipped]]:Table1[[#This Row],[Total Sales]],"&lt;&gt;#N/A")</f>
        <v>2</v>
      </c>
      <c r="P458">
        <f>_xlfn.MAXIFS(Table1[[#This Row],[VGChartz Score]:[User Score]],Table1[[#This Row],[VGChartz Score]:[User Score]],"&lt;&gt;#N/A")</f>
        <v>0</v>
      </c>
    </row>
    <row r="459" spans="1:16" hidden="1" x14ac:dyDescent="0.2">
      <c r="A459">
        <f t="shared" si="8"/>
        <v>458</v>
      </c>
      <c r="B459">
        <v>158</v>
      </c>
      <c r="C459" t="s">
        <v>138</v>
      </c>
      <c r="D459" t="s">
        <v>1666</v>
      </c>
      <c r="E459" t="s">
        <v>1305</v>
      </c>
      <c r="F459" t="s">
        <v>392</v>
      </c>
      <c r="G459" t="e">
        <v>#N/A</v>
      </c>
      <c r="H459" t="e">
        <v>#N/A</v>
      </c>
      <c r="I459" t="e">
        <v>#N/A</v>
      </c>
      <c r="J459" s="2">
        <v>2</v>
      </c>
      <c r="K459" s="2" t="e">
        <v>#N/A</v>
      </c>
      <c r="L459" t="s">
        <v>1667</v>
      </c>
      <c r="M459" t="e">
        <v>#N/A</v>
      </c>
      <c r="N459">
        <f>2000+RIGHT(Table1[[#This Row],[Release Date]],2)</f>
        <v>2001</v>
      </c>
      <c r="O459">
        <f>_xlfn.MAXIFS(Table1[[#This Row],[Total Shipped]]:Table1[[#This Row],[Total Sales]],Table1[[#This Row],[Total Shipped]]:Table1[[#This Row],[Total Sales]],"&lt;&gt;#N/A")</f>
        <v>2</v>
      </c>
      <c r="P459">
        <f>_xlfn.MAXIFS(Table1[[#This Row],[VGChartz Score]:[User Score]],Table1[[#This Row],[VGChartz Score]:[User Score]],"&lt;&gt;#N/A")</f>
        <v>0</v>
      </c>
    </row>
    <row r="460" spans="1:16" hidden="1" x14ac:dyDescent="0.2">
      <c r="A460">
        <f t="shared" si="8"/>
        <v>459</v>
      </c>
      <c r="B460">
        <v>159</v>
      </c>
      <c r="C460" t="s">
        <v>138</v>
      </c>
      <c r="D460" t="s">
        <v>1668</v>
      </c>
      <c r="E460" t="s">
        <v>1305</v>
      </c>
      <c r="F460" t="s">
        <v>1669</v>
      </c>
      <c r="G460" t="e">
        <v>#N/A</v>
      </c>
      <c r="H460" t="e">
        <v>#N/A</v>
      </c>
      <c r="I460" t="e">
        <v>#N/A</v>
      </c>
      <c r="J460" s="1">
        <v>2</v>
      </c>
      <c r="K460" s="1" t="e">
        <v>#N/A</v>
      </c>
      <c r="L460" t="s">
        <v>1670</v>
      </c>
      <c r="M460" t="e">
        <v>#N/A</v>
      </c>
      <c r="N460">
        <f>2000+RIGHT(Table1[[#This Row],[Release Date]],2)</f>
        <v>2001</v>
      </c>
      <c r="O460">
        <f>_xlfn.MAXIFS(Table1[[#This Row],[Total Shipped]]:Table1[[#This Row],[Total Sales]],Table1[[#This Row],[Total Shipped]]:Table1[[#This Row],[Total Sales]],"&lt;&gt;#N/A")</f>
        <v>2</v>
      </c>
      <c r="P460">
        <f>_xlfn.MAXIFS(Table1[[#This Row],[VGChartz Score]:[User Score]],Table1[[#This Row],[VGChartz Score]:[User Score]],"&lt;&gt;#N/A")</f>
        <v>0</v>
      </c>
    </row>
    <row r="461" spans="1:16" hidden="1" x14ac:dyDescent="0.2">
      <c r="A461">
        <f t="shared" si="8"/>
        <v>460</v>
      </c>
      <c r="B461">
        <v>160</v>
      </c>
      <c r="C461" t="s">
        <v>138</v>
      </c>
      <c r="D461" t="s">
        <v>1671</v>
      </c>
      <c r="E461" t="s">
        <v>1305</v>
      </c>
      <c r="F461" t="s">
        <v>661</v>
      </c>
      <c r="G461" t="e">
        <v>#N/A</v>
      </c>
      <c r="H461">
        <v>8</v>
      </c>
      <c r="I461" t="e">
        <v>#N/A</v>
      </c>
      <c r="J461" s="2">
        <v>2</v>
      </c>
      <c r="K461" s="2" t="e">
        <v>#N/A</v>
      </c>
      <c r="L461" t="s">
        <v>619</v>
      </c>
      <c r="M461" t="e">
        <v>#N/A</v>
      </c>
      <c r="N461">
        <f>2000+RIGHT(Table1[[#This Row],[Release Date]],2)</f>
        <v>2007</v>
      </c>
      <c r="O461">
        <f>_xlfn.MAXIFS(Table1[[#This Row],[Total Shipped]]:Table1[[#This Row],[Total Sales]],Table1[[#This Row],[Total Shipped]]:Table1[[#This Row],[Total Sales]],"&lt;&gt;#N/A")</f>
        <v>2</v>
      </c>
      <c r="P461">
        <f>_xlfn.MAXIFS(Table1[[#This Row],[VGChartz Score]:[User Score]],Table1[[#This Row],[VGChartz Score]:[User Score]],"&lt;&gt;#N/A")</f>
        <v>8</v>
      </c>
    </row>
    <row r="462" spans="1:16" hidden="1" x14ac:dyDescent="0.2">
      <c r="A462">
        <f t="shared" si="8"/>
        <v>461</v>
      </c>
      <c r="B462">
        <v>161</v>
      </c>
      <c r="C462" t="s">
        <v>138</v>
      </c>
      <c r="D462" t="s">
        <v>1672</v>
      </c>
      <c r="E462" t="s">
        <v>1305</v>
      </c>
      <c r="F462" t="s">
        <v>1673</v>
      </c>
      <c r="G462" t="e">
        <v>#N/A</v>
      </c>
      <c r="H462" t="e">
        <v>#N/A</v>
      </c>
      <c r="I462" t="e">
        <v>#N/A</v>
      </c>
      <c r="J462" s="1">
        <v>2</v>
      </c>
      <c r="K462" s="1" t="e">
        <v>#N/A</v>
      </c>
      <c r="L462" t="s">
        <v>1674</v>
      </c>
      <c r="M462" t="e">
        <v>#N/A</v>
      </c>
      <c r="N462">
        <f>2000+RIGHT(Table1[[#This Row],[Release Date]],2)</f>
        <v>2004</v>
      </c>
      <c r="O462">
        <f>_xlfn.MAXIFS(Table1[[#This Row],[Total Shipped]]:Table1[[#This Row],[Total Sales]],Table1[[#This Row],[Total Shipped]]:Table1[[#This Row],[Total Sales]],"&lt;&gt;#N/A")</f>
        <v>2</v>
      </c>
      <c r="P462">
        <f>_xlfn.MAXIFS(Table1[[#This Row],[VGChartz Score]:[User Score]],Table1[[#This Row],[VGChartz Score]:[User Score]],"&lt;&gt;#N/A")</f>
        <v>0</v>
      </c>
    </row>
    <row r="463" spans="1:16" hidden="1" x14ac:dyDescent="0.2">
      <c r="A463">
        <f t="shared" si="8"/>
        <v>462</v>
      </c>
      <c r="B463">
        <v>162</v>
      </c>
      <c r="C463" t="s">
        <v>138</v>
      </c>
      <c r="D463" t="s">
        <v>1675</v>
      </c>
      <c r="E463" t="s">
        <v>1305</v>
      </c>
      <c r="F463" t="s">
        <v>324</v>
      </c>
      <c r="G463" t="e">
        <v>#N/A</v>
      </c>
      <c r="H463" t="e">
        <v>#N/A</v>
      </c>
      <c r="I463" t="e">
        <v>#N/A</v>
      </c>
      <c r="J463" s="2">
        <v>2</v>
      </c>
      <c r="K463" s="2" t="e">
        <v>#N/A</v>
      </c>
      <c r="L463" t="s">
        <v>657</v>
      </c>
      <c r="M463" t="s">
        <v>1676</v>
      </c>
      <c r="N463">
        <f>2000+RIGHT(Table1[[#This Row],[Release Date]],2)</f>
        <v>2013</v>
      </c>
      <c r="O463">
        <f>_xlfn.MAXIFS(Table1[[#This Row],[Total Shipped]]:Table1[[#This Row],[Total Sales]],Table1[[#This Row],[Total Shipped]]:Table1[[#This Row],[Total Sales]],"&lt;&gt;#N/A")</f>
        <v>2</v>
      </c>
      <c r="P463">
        <f>_xlfn.MAXIFS(Table1[[#This Row],[VGChartz Score]:[User Score]],Table1[[#This Row],[VGChartz Score]:[User Score]],"&lt;&gt;#N/A")</f>
        <v>0</v>
      </c>
    </row>
    <row r="464" spans="1:16" hidden="1" x14ac:dyDescent="0.2">
      <c r="A464">
        <f t="shared" si="8"/>
        <v>463</v>
      </c>
      <c r="B464">
        <v>163</v>
      </c>
      <c r="C464" t="s">
        <v>138</v>
      </c>
      <c r="D464" t="s">
        <v>1677</v>
      </c>
      <c r="E464" t="s">
        <v>1305</v>
      </c>
      <c r="F464" t="s">
        <v>1678</v>
      </c>
      <c r="G464" t="e">
        <v>#N/A</v>
      </c>
      <c r="H464" t="e">
        <v>#N/A</v>
      </c>
      <c r="I464" t="e">
        <v>#N/A</v>
      </c>
      <c r="J464" s="1">
        <v>2</v>
      </c>
      <c r="K464" s="1" t="e">
        <v>#N/A</v>
      </c>
      <c r="L464" t="s">
        <v>1679</v>
      </c>
      <c r="M464" t="s">
        <v>1390</v>
      </c>
      <c r="N464">
        <f>2000+RIGHT(Table1[[#This Row],[Release Date]],2)</f>
        <v>2023</v>
      </c>
      <c r="O464">
        <f>_xlfn.MAXIFS(Table1[[#This Row],[Total Shipped]]:Table1[[#This Row],[Total Sales]],Table1[[#This Row],[Total Shipped]]:Table1[[#This Row],[Total Sales]],"&lt;&gt;#N/A")</f>
        <v>2</v>
      </c>
      <c r="P464">
        <f>_xlfn.MAXIFS(Table1[[#This Row],[VGChartz Score]:[User Score]],Table1[[#This Row],[VGChartz Score]:[User Score]],"&lt;&gt;#N/A")</f>
        <v>0</v>
      </c>
    </row>
    <row r="465" spans="1:16" hidden="1" x14ac:dyDescent="0.2">
      <c r="A465">
        <f t="shared" si="8"/>
        <v>464</v>
      </c>
      <c r="B465">
        <v>164</v>
      </c>
      <c r="C465" t="s">
        <v>138</v>
      </c>
      <c r="D465" t="s">
        <v>1680</v>
      </c>
      <c r="E465" t="s">
        <v>1305</v>
      </c>
      <c r="F465" t="s">
        <v>324</v>
      </c>
      <c r="G465" t="e">
        <v>#N/A</v>
      </c>
      <c r="H465">
        <v>8.4</v>
      </c>
      <c r="I465" t="e">
        <v>#N/A</v>
      </c>
      <c r="J465" s="2">
        <v>2</v>
      </c>
      <c r="K465" s="2" t="e">
        <v>#N/A</v>
      </c>
      <c r="L465" t="s">
        <v>1681</v>
      </c>
      <c r="M465" t="e">
        <v>#N/A</v>
      </c>
      <c r="N465">
        <f>2000+RIGHT(Table1[[#This Row],[Release Date]],2)</f>
        <v>2011</v>
      </c>
      <c r="O465">
        <f>_xlfn.MAXIFS(Table1[[#This Row],[Total Shipped]]:Table1[[#This Row],[Total Sales]],Table1[[#This Row],[Total Shipped]]:Table1[[#This Row],[Total Sales]],"&lt;&gt;#N/A")</f>
        <v>2</v>
      </c>
      <c r="P465">
        <f>_xlfn.MAXIFS(Table1[[#This Row],[VGChartz Score]:[User Score]],Table1[[#This Row],[VGChartz Score]:[User Score]],"&lt;&gt;#N/A")</f>
        <v>8.4</v>
      </c>
    </row>
    <row r="466" spans="1:16" hidden="1" x14ac:dyDescent="0.2">
      <c r="A466">
        <f t="shared" si="8"/>
        <v>465</v>
      </c>
      <c r="B466">
        <v>165</v>
      </c>
      <c r="C466" t="s">
        <v>138</v>
      </c>
      <c r="D466" t="s">
        <v>1682</v>
      </c>
      <c r="E466" t="s">
        <v>1305</v>
      </c>
      <c r="F466" t="s">
        <v>1683</v>
      </c>
      <c r="G466" t="e">
        <v>#N/A</v>
      </c>
      <c r="H466" t="e">
        <v>#N/A</v>
      </c>
      <c r="I466" t="e">
        <v>#N/A</v>
      </c>
      <c r="J466" s="1">
        <v>2</v>
      </c>
      <c r="K466" s="1" t="e">
        <v>#N/A</v>
      </c>
      <c r="L466" t="s">
        <v>1684</v>
      </c>
      <c r="M466" t="s">
        <v>1252</v>
      </c>
      <c r="N466">
        <f>2000+RIGHT(Table1[[#This Row],[Release Date]],2)</f>
        <v>2013</v>
      </c>
      <c r="O466">
        <f>_xlfn.MAXIFS(Table1[[#This Row],[Total Shipped]]:Table1[[#This Row],[Total Sales]],Table1[[#This Row],[Total Shipped]]:Table1[[#This Row],[Total Sales]],"&lt;&gt;#N/A")</f>
        <v>2</v>
      </c>
      <c r="P466">
        <f>_xlfn.MAXIFS(Table1[[#This Row],[VGChartz Score]:[User Score]],Table1[[#This Row],[VGChartz Score]:[User Score]],"&lt;&gt;#N/A")</f>
        <v>0</v>
      </c>
    </row>
    <row r="467" spans="1:16" hidden="1" x14ac:dyDescent="0.2">
      <c r="A467">
        <f t="shared" si="8"/>
        <v>466</v>
      </c>
      <c r="B467">
        <v>166</v>
      </c>
      <c r="C467" t="s">
        <v>138</v>
      </c>
      <c r="D467" t="s">
        <v>1685</v>
      </c>
      <c r="E467" t="s">
        <v>1305</v>
      </c>
      <c r="F467" t="s">
        <v>1662</v>
      </c>
      <c r="G467" t="e">
        <v>#N/A</v>
      </c>
      <c r="H467" t="e">
        <v>#N/A</v>
      </c>
      <c r="I467" t="e">
        <v>#N/A</v>
      </c>
      <c r="J467" s="2">
        <v>2</v>
      </c>
      <c r="K467" s="2" t="e">
        <v>#N/A</v>
      </c>
      <c r="L467" t="s">
        <v>1638</v>
      </c>
      <c r="M467" t="e">
        <v>#N/A</v>
      </c>
      <c r="N467">
        <f>2000+RIGHT(Table1[[#This Row],[Release Date]],2)</f>
        <v>2093</v>
      </c>
      <c r="O467">
        <f>_xlfn.MAXIFS(Table1[[#This Row],[Total Shipped]]:Table1[[#This Row],[Total Sales]],Table1[[#This Row],[Total Shipped]]:Table1[[#This Row],[Total Sales]],"&lt;&gt;#N/A")</f>
        <v>2</v>
      </c>
      <c r="P467">
        <f>_xlfn.MAXIFS(Table1[[#This Row],[VGChartz Score]:[User Score]],Table1[[#This Row],[VGChartz Score]:[User Score]],"&lt;&gt;#N/A")</f>
        <v>0</v>
      </c>
    </row>
    <row r="468" spans="1:16" hidden="1" x14ac:dyDescent="0.2">
      <c r="A468">
        <f t="shared" si="8"/>
        <v>467</v>
      </c>
      <c r="B468">
        <v>167</v>
      </c>
      <c r="C468" t="s">
        <v>138</v>
      </c>
      <c r="D468" t="s">
        <v>1686</v>
      </c>
      <c r="E468" t="s">
        <v>1305</v>
      </c>
      <c r="F468" t="s">
        <v>1395</v>
      </c>
      <c r="G468" t="e">
        <v>#N/A</v>
      </c>
      <c r="H468" t="e">
        <v>#N/A</v>
      </c>
      <c r="I468" t="e">
        <v>#N/A</v>
      </c>
      <c r="J468" s="1">
        <v>1.97</v>
      </c>
      <c r="K468" s="1" t="e">
        <v>#N/A</v>
      </c>
      <c r="L468" t="s">
        <v>1687</v>
      </c>
      <c r="M468" t="s">
        <v>411</v>
      </c>
      <c r="N468">
        <f>2000+RIGHT(Table1[[#This Row],[Release Date]],2)</f>
        <v>2016</v>
      </c>
      <c r="O468">
        <f>_xlfn.MAXIFS(Table1[[#This Row],[Total Shipped]]:Table1[[#This Row],[Total Sales]],Table1[[#This Row],[Total Shipped]]:Table1[[#This Row],[Total Sales]],"&lt;&gt;#N/A")</f>
        <v>1.97</v>
      </c>
      <c r="P468">
        <f>_xlfn.MAXIFS(Table1[[#This Row],[VGChartz Score]:[User Score]],Table1[[#This Row],[VGChartz Score]:[User Score]],"&lt;&gt;#N/A")</f>
        <v>0</v>
      </c>
    </row>
    <row r="469" spans="1:16" hidden="1" x14ac:dyDescent="0.2">
      <c r="A469">
        <f t="shared" si="8"/>
        <v>468</v>
      </c>
      <c r="B469">
        <v>168</v>
      </c>
      <c r="C469" t="s">
        <v>138</v>
      </c>
      <c r="D469" t="s">
        <v>1688</v>
      </c>
      <c r="E469" t="s">
        <v>1305</v>
      </c>
      <c r="F469" t="s">
        <v>675</v>
      </c>
      <c r="G469" t="e">
        <v>#N/A</v>
      </c>
      <c r="H469" t="e">
        <v>#N/A</v>
      </c>
      <c r="I469" t="e">
        <v>#N/A</v>
      </c>
      <c r="J469" s="2" t="e">
        <v>#N/A</v>
      </c>
      <c r="K469" s="2">
        <v>1.95</v>
      </c>
      <c r="L469" t="s">
        <v>1689</v>
      </c>
      <c r="M469" t="e">
        <v>#N/A</v>
      </c>
      <c r="N469">
        <f>2000+RIGHT(Table1[[#This Row],[Release Date]],2)</f>
        <v>2095</v>
      </c>
      <c r="O469">
        <f>_xlfn.MAXIFS(Table1[[#This Row],[Total Shipped]]:Table1[[#This Row],[Total Sales]],Table1[[#This Row],[Total Shipped]]:Table1[[#This Row],[Total Sales]],"&lt;&gt;#N/A")</f>
        <v>1.95</v>
      </c>
      <c r="P469">
        <f>_xlfn.MAXIFS(Table1[[#This Row],[VGChartz Score]:[User Score]],Table1[[#This Row],[VGChartz Score]:[User Score]],"&lt;&gt;#N/A")</f>
        <v>0</v>
      </c>
    </row>
    <row r="470" spans="1:16" hidden="1" x14ac:dyDescent="0.2">
      <c r="A470">
        <f t="shared" si="8"/>
        <v>469</v>
      </c>
      <c r="B470">
        <v>169</v>
      </c>
      <c r="C470" t="s">
        <v>138</v>
      </c>
      <c r="D470" t="s">
        <v>1690</v>
      </c>
      <c r="E470" t="s">
        <v>1305</v>
      </c>
      <c r="F470" t="s">
        <v>324</v>
      </c>
      <c r="G470" t="e">
        <v>#N/A</v>
      </c>
      <c r="H470" t="e">
        <v>#N/A</v>
      </c>
      <c r="I470" t="e">
        <v>#N/A</v>
      </c>
      <c r="J470" s="1" t="e">
        <v>#N/A</v>
      </c>
      <c r="K470" s="1">
        <v>1.92</v>
      </c>
      <c r="L470" t="s">
        <v>857</v>
      </c>
      <c r="M470" t="e">
        <v>#N/A</v>
      </c>
      <c r="N470">
        <f>2000+RIGHT(Table1[[#This Row],[Release Date]],2)</f>
        <v>2003</v>
      </c>
      <c r="O470">
        <f>_xlfn.MAXIFS(Table1[[#This Row],[Total Shipped]]:Table1[[#This Row],[Total Sales]],Table1[[#This Row],[Total Shipped]]:Table1[[#This Row],[Total Sales]],"&lt;&gt;#N/A")</f>
        <v>1.92</v>
      </c>
      <c r="P470">
        <f>_xlfn.MAXIFS(Table1[[#This Row],[VGChartz Score]:[User Score]],Table1[[#This Row],[VGChartz Score]:[User Score]],"&lt;&gt;#N/A")</f>
        <v>0</v>
      </c>
    </row>
    <row r="471" spans="1:16" hidden="1" x14ac:dyDescent="0.2">
      <c r="A471">
        <f t="shared" si="8"/>
        <v>470</v>
      </c>
      <c r="B471">
        <v>170</v>
      </c>
      <c r="C471" t="s">
        <v>138</v>
      </c>
      <c r="D471" t="s">
        <v>1691</v>
      </c>
      <c r="E471" t="s">
        <v>1305</v>
      </c>
      <c r="F471" t="s">
        <v>1692</v>
      </c>
      <c r="G471" t="e">
        <v>#N/A</v>
      </c>
      <c r="H471">
        <v>4.8</v>
      </c>
      <c r="I471" t="e">
        <v>#N/A</v>
      </c>
      <c r="J471" s="2">
        <v>1.91</v>
      </c>
      <c r="K471" s="2" t="e">
        <v>#N/A</v>
      </c>
      <c r="L471" t="s">
        <v>1693</v>
      </c>
      <c r="M471" t="e">
        <v>#N/A</v>
      </c>
      <c r="N471">
        <f>2000+RIGHT(Table1[[#This Row],[Release Date]],2)</f>
        <v>2003</v>
      </c>
      <c r="O471">
        <f>_xlfn.MAXIFS(Table1[[#This Row],[Total Shipped]]:Table1[[#This Row],[Total Sales]],Table1[[#This Row],[Total Shipped]]:Table1[[#This Row],[Total Sales]],"&lt;&gt;#N/A")</f>
        <v>1.91</v>
      </c>
      <c r="P471">
        <f>_xlfn.MAXIFS(Table1[[#This Row],[VGChartz Score]:[User Score]],Table1[[#This Row],[VGChartz Score]:[User Score]],"&lt;&gt;#N/A")</f>
        <v>4.8</v>
      </c>
    </row>
    <row r="472" spans="1:16" hidden="1" x14ac:dyDescent="0.2">
      <c r="A472">
        <f t="shared" si="8"/>
        <v>471</v>
      </c>
      <c r="B472">
        <v>171</v>
      </c>
      <c r="C472" t="s">
        <v>138</v>
      </c>
      <c r="D472" t="s">
        <v>1694</v>
      </c>
      <c r="E472" t="s">
        <v>1305</v>
      </c>
      <c r="F472" t="s">
        <v>1695</v>
      </c>
      <c r="G472" t="e">
        <v>#N/A</v>
      </c>
      <c r="H472" t="e">
        <v>#N/A</v>
      </c>
      <c r="I472" t="e">
        <v>#N/A</v>
      </c>
      <c r="J472" s="1">
        <v>1.88</v>
      </c>
      <c r="K472" s="1" t="e">
        <v>#N/A</v>
      </c>
      <c r="L472" t="s">
        <v>1696</v>
      </c>
      <c r="M472" t="s">
        <v>1697</v>
      </c>
      <c r="N472">
        <f>2000+RIGHT(Table1[[#This Row],[Release Date]],2)</f>
        <v>2017</v>
      </c>
      <c r="O472">
        <f>_xlfn.MAXIFS(Table1[[#This Row],[Total Shipped]]:Table1[[#This Row],[Total Sales]],Table1[[#This Row],[Total Shipped]]:Table1[[#This Row],[Total Sales]],"&lt;&gt;#N/A")</f>
        <v>1.88</v>
      </c>
      <c r="P472">
        <f>_xlfn.MAXIFS(Table1[[#This Row],[VGChartz Score]:[User Score]],Table1[[#This Row],[VGChartz Score]:[User Score]],"&lt;&gt;#N/A")</f>
        <v>0</v>
      </c>
    </row>
    <row r="473" spans="1:16" hidden="1" x14ac:dyDescent="0.2">
      <c r="A473">
        <f t="shared" si="8"/>
        <v>472</v>
      </c>
      <c r="B473">
        <v>172</v>
      </c>
      <c r="C473" t="s">
        <v>138</v>
      </c>
      <c r="D473" t="s">
        <v>1698</v>
      </c>
      <c r="E473" t="s">
        <v>1305</v>
      </c>
      <c r="F473" t="s">
        <v>257</v>
      </c>
      <c r="G473" t="e">
        <v>#N/A</v>
      </c>
      <c r="H473" t="e">
        <v>#N/A</v>
      </c>
      <c r="I473" t="e">
        <v>#N/A</v>
      </c>
      <c r="J473" s="2">
        <v>1.86</v>
      </c>
      <c r="K473" s="2" t="e">
        <v>#N/A</v>
      </c>
      <c r="L473" t="s">
        <v>1699</v>
      </c>
      <c r="M473" t="e">
        <v>#N/A</v>
      </c>
      <c r="N473">
        <f>2000+RIGHT(Table1[[#This Row],[Release Date]],2)</f>
        <v>2014</v>
      </c>
      <c r="O473">
        <f>_xlfn.MAXIFS(Table1[[#This Row],[Total Shipped]]:Table1[[#This Row],[Total Sales]],Table1[[#This Row],[Total Shipped]]:Table1[[#This Row],[Total Sales]],"&lt;&gt;#N/A")</f>
        <v>1.86</v>
      </c>
      <c r="P473">
        <f>_xlfn.MAXIFS(Table1[[#This Row],[VGChartz Score]:[User Score]],Table1[[#This Row],[VGChartz Score]:[User Score]],"&lt;&gt;#N/A")</f>
        <v>0</v>
      </c>
    </row>
    <row r="474" spans="1:16" hidden="1" x14ac:dyDescent="0.2">
      <c r="A474">
        <f t="shared" ref="A474:A522" si="9">ROW()-1</f>
        <v>473</v>
      </c>
      <c r="B474">
        <v>173</v>
      </c>
      <c r="C474" t="s">
        <v>138</v>
      </c>
      <c r="D474" t="s">
        <v>667</v>
      </c>
      <c r="E474" t="s">
        <v>1305</v>
      </c>
      <c r="F474" t="s">
        <v>321</v>
      </c>
      <c r="G474" t="e">
        <v>#N/A</v>
      </c>
      <c r="H474" t="e">
        <v>#N/A</v>
      </c>
      <c r="I474" t="e">
        <v>#N/A</v>
      </c>
      <c r="J474" s="1">
        <v>1.85</v>
      </c>
      <c r="K474" s="1" t="e">
        <v>#N/A</v>
      </c>
      <c r="L474" t="s">
        <v>1700</v>
      </c>
      <c r="M474" t="s">
        <v>669</v>
      </c>
      <c r="N474">
        <f>2000+RIGHT(Table1[[#This Row],[Release Date]],2)</f>
        <v>2014</v>
      </c>
      <c r="O474">
        <f>_xlfn.MAXIFS(Table1[[#This Row],[Total Shipped]]:Table1[[#This Row],[Total Sales]],Table1[[#This Row],[Total Shipped]]:Table1[[#This Row],[Total Sales]],"&lt;&gt;#N/A")</f>
        <v>1.85</v>
      </c>
      <c r="P474">
        <f>_xlfn.MAXIFS(Table1[[#This Row],[VGChartz Score]:[User Score]],Table1[[#This Row],[VGChartz Score]:[User Score]],"&lt;&gt;#N/A")</f>
        <v>0</v>
      </c>
    </row>
    <row r="475" spans="1:16" hidden="1" x14ac:dyDescent="0.2">
      <c r="A475">
        <f t="shared" si="9"/>
        <v>474</v>
      </c>
      <c r="B475">
        <v>174</v>
      </c>
      <c r="C475" t="s">
        <v>138</v>
      </c>
      <c r="D475" t="s">
        <v>1701</v>
      </c>
      <c r="E475" t="s">
        <v>1305</v>
      </c>
      <c r="F475" t="s">
        <v>1426</v>
      </c>
      <c r="G475" t="e">
        <v>#N/A</v>
      </c>
      <c r="H475" t="e">
        <v>#N/A</v>
      </c>
      <c r="I475" t="e">
        <v>#N/A</v>
      </c>
      <c r="J475" s="2">
        <v>1.83</v>
      </c>
      <c r="K475" s="2" t="e">
        <v>#N/A</v>
      </c>
      <c r="L475" t="s">
        <v>1702</v>
      </c>
      <c r="M475" t="e">
        <v>#N/A</v>
      </c>
      <c r="N475">
        <f>2000+RIGHT(Table1[[#This Row],[Release Date]],2)</f>
        <v>2013</v>
      </c>
      <c r="O475">
        <f>_xlfn.MAXIFS(Table1[[#This Row],[Total Shipped]]:Table1[[#This Row],[Total Sales]],Table1[[#This Row],[Total Shipped]]:Table1[[#This Row],[Total Sales]],"&lt;&gt;#N/A")</f>
        <v>1.83</v>
      </c>
      <c r="P475">
        <f>_xlfn.MAXIFS(Table1[[#This Row],[VGChartz Score]:[User Score]],Table1[[#This Row],[VGChartz Score]:[User Score]],"&lt;&gt;#N/A")</f>
        <v>0</v>
      </c>
    </row>
    <row r="476" spans="1:16" hidden="1" x14ac:dyDescent="0.2">
      <c r="A476">
        <f t="shared" si="9"/>
        <v>475</v>
      </c>
      <c r="B476">
        <v>175</v>
      </c>
      <c r="C476" t="s">
        <v>138</v>
      </c>
      <c r="D476" t="s">
        <v>1703</v>
      </c>
      <c r="E476" t="s">
        <v>1305</v>
      </c>
      <c r="F476" t="s">
        <v>222</v>
      </c>
      <c r="G476">
        <v>7.2</v>
      </c>
      <c r="H476" t="e">
        <v>#N/A</v>
      </c>
      <c r="I476" t="e">
        <v>#N/A</v>
      </c>
      <c r="J476" s="1">
        <v>1.82</v>
      </c>
      <c r="K476" s="1" t="e">
        <v>#N/A</v>
      </c>
      <c r="L476" t="s">
        <v>1704</v>
      </c>
      <c r="M476" t="s">
        <v>353</v>
      </c>
      <c r="N476">
        <f>2000+RIGHT(Table1[[#This Row],[Release Date]],2)</f>
        <v>2014</v>
      </c>
      <c r="O476">
        <f>_xlfn.MAXIFS(Table1[[#This Row],[Total Shipped]]:Table1[[#This Row],[Total Sales]],Table1[[#This Row],[Total Shipped]]:Table1[[#This Row],[Total Sales]],"&lt;&gt;#N/A")</f>
        <v>1.82</v>
      </c>
      <c r="P476">
        <f>_xlfn.MAXIFS(Table1[[#This Row],[VGChartz Score]:[User Score]],Table1[[#This Row],[VGChartz Score]:[User Score]],"&lt;&gt;#N/A")</f>
        <v>7.2</v>
      </c>
    </row>
    <row r="477" spans="1:16" hidden="1" x14ac:dyDescent="0.2">
      <c r="A477">
        <f t="shared" si="9"/>
        <v>476</v>
      </c>
      <c r="B477">
        <v>176</v>
      </c>
      <c r="C477" t="s">
        <v>138</v>
      </c>
      <c r="D477" t="s">
        <v>1705</v>
      </c>
      <c r="E477" t="s">
        <v>1305</v>
      </c>
      <c r="F477" t="s">
        <v>324</v>
      </c>
      <c r="G477" t="e">
        <v>#N/A</v>
      </c>
      <c r="H477" t="e">
        <v>#N/A</v>
      </c>
      <c r="I477" t="e">
        <v>#N/A</v>
      </c>
      <c r="J477" s="2" t="e">
        <v>#N/A</v>
      </c>
      <c r="K477" s="2">
        <v>1.82</v>
      </c>
      <c r="L477" t="s">
        <v>1706</v>
      </c>
      <c r="M477" t="e">
        <v>#N/A</v>
      </c>
      <c r="N477">
        <f>2000+RIGHT(Table1[[#This Row],[Release Date]],2)</f>
        <v>2001</v>
      </c>
      <c r="O477">
        <f>_xlfn.MAXIFS(Table1[[#This Row],[Total Shipped]]:Table1[[#This Row],[Total Sales]],Table1[[#This Row],[Total Shipped]]:Table1[[#This Row],[Total Sales]],"&lt;&gt;#N/A")</f>
        <v>1.82</v>
      </c>
      <c r="P477">
        <f>_xlfn.MAXIFS(Table1[[#This Row],[VGChartz Score]:[User Score]],Table1[[#This Row],[VGChartz Score]:[User Score]],"&lt;&gt;#N/A")</f>
        <v>0</v>
      </c>
    </row>
    <row r="478" spans="1:16" hidden="1" x14ac:dyDescent="0.2">
      <c r="A478">
        <f t="shared" si="9"/>
        <v>477</v>
      </c>
      <c r="B478">
        <v>177</v>
      </c>
      <c r="C478" t="s">
        <v>138</v>
      </c>
      <c r="D478" t="s">
        <v>1707</v>
      </c>
      <c r="E478" t="s">
        <v>1305</v>
      </c>
      <c r="F478" t="s">
        <v>1708</v>
      </c>
      <c r="G478" t="e">
        <v>#N/A</v>
      </c>
      <c r="H478" t="e">
        <v>#N/A</v>
      </c>
      <c r="I478" t="e">
        <v>#N/A</v>
      </c>
      <c r="J478" s="1">
        <v>1.8</v>
      </c>
      <c r="K478" s="1" t="e">
        <v>#N/A</v>
      </c>
      <c r="L478" t="s">
        <v>1709</v>
      </c>
      <c r="M478" t="s">
        <v>145</v>
      </c>
      <c r="N478">
        <f>2000+RIGHT(Table1[[#This Row],[Release Date]],2)</f>
        <v>2012</v>
      </c>
      <c r="O478">
        <f>_xlfn.MAXIFS(Table1[[#This Row],[Total Shipped]]:Table1[[#This Row],[Total Sales]],Table1[[#This Row],[Total Shipped]]:Table1[[#This Row],[Total Sales]],"&lt;&gt;#N/A")</f>
        <v>1.8</v>
      </c>
      <c r="P478">
        <f>_xlfn.MAXIFS(Table1[[#This Row],[VGChartz Score]:[User Score]],Table1[[#This Row],[VGChartz Score]:[User Score]],"&lt;&gt;#N/A")</f>
        <v>0</v>
      </c>
    </row>
    <row r="479" spans="1:16" hidden="1" x14ac:dyDescent="0.2">
      <c r="A479">
        <f t="shared" si="9"/>
        <v>478</v>
      </c>
      <c r="B479">
        <v>178</v>
      </c>
      <c r="C479" t="s">
        <v>138</v>
      </c>
      <c r="D479" t="s">
        <v>1710</v>
      </c>
      <c r="E479" t="s">
        <v>1305</v>
      </c>
      <c r="F479" t="s">
        <v>321</v>
      </c>
      <c r="G479" t="e">
        <v>#N/A</v>
      </c>
      <c r="H479" t="e">
        <v>#N/A</v>
      </c>
      <c r="I479" t="e">
        <v>#N/A</v>
      </c>
      <c r="J479" s="2">
        <v>1.78</v>
      </c>
      <c r="K479" s="2" t="e">
        <v>#N/A</v>
      </c>
      <c r="L479" t="s">
        <v>476</v>
      </c>
      <c r="M479" t="s">
        <v>693</v>
      </c>
      <c r="N479">
        <f>2000+RIGHT(Table1[[#This Row],[Release Date]],2)</f>
        <v>2015</v>
      </c>
      <c r="O479">
        <f>_xlfn.MAXIFS(Table1[[#This Row],[Total Shipped]]:Table1[[#This Row],[Total Sales]],Table1[[#This Row],[Total Shipped]]:Table1[[#This Row],[Total Sales]],"&lt;&gt;#N/A")</f>
        <v>1.78</v>
      </c>
      <c r="P479">
        <f>_xlfn.MAXIFS(Table1[[#This Row],[VGChartz Score]:[User Score]],Table1[[#This Row],[VGChartz Score]:[User Score]],"&lt;&gt;#N/A")</f>
        <v>0</v>
      </c>
    </row>
    <row r="480" spans="1:16" hidden="1" x14ac:dyDescent="0.2">
      <c r="A480">
        <f t="shared" si="9"/>
        <v>479</v>
      </c>
      <c r="B480">
        <v>179</v>
      </c>
      <c r="C480" t="s">
        <v>138</v>
      </c>
      <c r="D480" t="s">
        <v>1711</v>
      </c>
      <c r="E480" t="s">
        <v>1305</v>
      </c>
      <c r="F480" t="s">
        <v>1712</v>
      </c>
      <c r="G480">
        <v>9.3000000000000007</v>
      </c>
      <c r="H480" t="e">
        <v>#N/A</v>
      </c>
      <c r="I480" t="e">
        <v>#N/A</v>
      </c>
      <c r="J480" s="1">
        <v>1.76</v>
      </c>
      <c r="K480" s="1" t="e">
        <v>#N/A</v>
      </c>
      <c r="L480" t="s">
        <v>1713</v>
      </c>
      <c r="M480" t="s">
        <v>1714</v>
      </c>
      <c r="N480">
        <f>2000+RIGHT(Table1[[#This Row],[Release Date]],2)</f>
        <v>2016</v>
      </c>
      <c r="O480">
        <f>_xlfn.MAXIFS(Table1[[#This Row],[Total Shipped]]:Table1[[#This Row],[Total Sales]],Table1[[#This Row],[Total Shipped]]:Table1[[#This Row],[Total Sales]],"&lt;&gt;#N/A")</f>
        <v>1.76</v>
      </c>
      <c r="P480">
        <f>_xlfn.MAXIFS(Table1[[#This Row],[VGChartz Score]:[User Score]],Table1[[#This Row],[VGChartz Score]:[User Score]],"&lt;&gt;#N/A")</f>
        <v>9.3000000000000007</v>
      </c>
    </row>
    <row r="481" spans="1:16" hidden="1" x14ac:dyDescent="0.2">
      <c r="A481">
        <f t="shared" si="9"/>
        <v>480</v>
      </c>
      <c r="B481">
        <v>180</v>
      </c>
      <c r="C481" t="s">
        <v>138</v>
      </c>
      <c r="D481" t="s">
        <v>474</v>
      </c>
      <c r="E481" t="s">
        <v>1305</v>
      </c>
      <c r="F481" t="s">
        <v>475</v>
      </c>
      <c r="G481" t="e">
        <v>#N/A</v>
      </c>
      <c r="H481" t="e">
        <v>#N/A</v>
      </c>
      <c r="I481" t="e">
        <v>#N/A</v>
      </c>
      <c r="J481" s="2">
        <v>1.75</v>
      </c>
      <c r="K481" s="2" t="e">
        <v>#N/A</v>
      </c>
      <c r="L481" t="s">
        <v>476</v>
      </c>
      <c r="M481" t="s">
        <v>85</v>
      </c>
      <c r="N481">
        <f>2000+RIGHT(Table1[[#This Row],[Release Date]],2)</f>
        <v>2015</v>
      </c>
      <c r="O481">
        <f>_xlfn.MAXIFS(Table1[[#This Row],[Total Shipped]]:Table1[[#This Row],[Total Sales]],Table1[[#This Row],[Total Shipped]]:Table1[[#This Row],[Total Sales]],"&lt;&gt;#N/A")</f>
        <v>1.75</v>
      </c>
      <c r="P481">
        <f>_xlfn.MAXIFS(Table1[[#This Row],[VGChartz Score]:[User Score]],Table1[[#This Row],[VGChartz Score]:[User Score]],"&lt;&gt;#N/A")</f>
        <v>0</v>
      </c>
    </row>
    <row r="482" spans="1:16" hidden="1" x14ac:dyDescent="0.2">
      <c r="A482">
        <f t="shared" si="9"/>
        <v>481</v>
      </c>
      <c r="B482">
        <v>181</v>
      </c>
      <c r="C482" t="s">
        <v>138</v>
      </c>
      <c r="D482" t="s">
        <v>1715</v>
      </c>
      <c r="E482" t="s">
        <v>1305</v>
      </c>
      <c r="F482" t="s">
        <v>297</v>
      </c>
      <c r="G482" t="e">
        <v>#N/A</v>
      </c>
      <c r="H482">
        <v>9</v>
      </c>
      <c r="I482" t="e">
        <v>#N/A</v>
      </c>
      <c r="J482" s="1">
        <v>1.74</v>
      </c>
      <c r="K482" s="1" t="e">
        <v>#N/A</v>
      </c>
      <c r="L482" t="s">
        <v>1716</v>
      </c>
      <c r="M482" t="e">
        <v>#N/A</v>
      </c>
      <c r="N482">
        <f>2000+RIGHT(Table1[[#This Row],[Release Date]],2)</f>
        <v>2012</v>
      </c>
      <c r="O482">
        <f>_xlfn.MAXIFS(Table1[[#This Row],[Total Shipped]]:Table1[[#This Row],[Total Sales]],Table1[[#This Row],[Total Shipped]]:Table1[[#This Row],[Total Sales]],"&lt;&gt;#N/A")</f>
        <v>1.74</v>
      </c>
      <c r="P482">
        <f>_xlfn.MAXIFS(Table1[[#This Row],[VGChartz Score]:[User Score]],Table1[[#This Row],[VGChartz Score]:[User Score]],"&lt;&gt;#N/A")</f>
        <v>9</v>
      </c>
    </row>
    <row r="483" spans="1:16" hidden="1" x14ac:dyDescent="0.2">
      <c r="A483">
        <f t="shared" si="9"/>
        <v>482</v>
      </c>
      <c r="B483">
        <v>182</v>
      </c>
      <c r="C483" t="s">
        <v>138</v>
      </c>
      <c r="D483" t="s">
        <v>1717</v>
      </c>
      <c r="E483" t="s">
        <v>1305</v>
      </c>
      <c r="F483" t="s">
        <v>1718</v>
      </c>
      <c r="G483" t="e">
        <v>#N/A</v>
      </c>
      <c r="H483" t="e">
        <v>#N/A</v>
      </c>
      <c r="I483" t="e">
        <v>#N/A</v>
      </c>
      <c r="J483" s="2">
        <v>1.74</v>
      </c>
      <c r="K483" s="2" t="e">
        <v>#N/A</v>
      </c>
      <c r="L483" t="s">
        <v>245</v>
      </c>
      <c r="M483" t="s">
        <v>111</v>
      </c>
      <c r="N483">
        <f>2000+RIGHT(Table1[[#This Row],[Release Date]],2)</f>
        <v>2017</v>
      </c>
      <c r="O483">
        <f>_xlfn.MAXIFS(Table1[[#This Row],[Total Shipped]]:Table1[[#This Row],[Total Sales]],Table1[[#This Row],[Total Shipped]]:Table1[[#This Row],[Total Sales]],"&lt;&gt;#N/A")</f>
        <v>1.74</v>
      </c>
      <c r="P483">
        <f>_xlfn.MAXIFS(Table1[[#This Row],[VGChartz Score]:[User Score]],Table1[[#This Row],[VGChartz Score]:[User Score]],"&lt;&gt;#N/A")</f>
        <v>0</v>
      </c>
    </row>
    <row r="484" spans="1:16" hidden="1" x14ac:dyDescent="0.2">
      <c r="A484">
        <f t="shared" si="9"/>
        <v>483</v>
      </c>
      <c r="B484">
        <v>183</v>
      </c>
      <c r="C484" t="s">
        <v>138</v>
      </c>
      <c r="D484" t="s">
        <v>532</v>
      </c>
      <c r="E484" t="s">
        <v>1305</v>
      </c>
      <c r="F484" t="s">
        <v>233</v>
      </c>
      <c r="G484" t="e">
        <v>#N/A</v>
      </c>
      <c r="H484">
        <v>8</v>
      </c>
      <c r="I484" t="e">
        <v>#N/A</v>
      </c>
      <c r="J484" s="1" t="e">
        <v>#N/A</v>
      </c>
      <c r="K484" s="1">
        <v>1.71</v>
      </c>
      <c r="L484" t="s">
        <v>533</v>
      </c>
      <c r="M484" t="e">
        <v>#N/A</v>
      </c>
      <c r="N484">
        <f>2000+RIGHT(Table1[[#This Row],[Release Date]],2)</f>
        <v>2011</v>
      </c>
      <c r="O484">
        <f>_xlfn.MAXIFS(Table1[[#This Row],[Total Shipped]]:Table1[[#This Row],[Total Sales]],Table1[[#This Row],[Total Shipped]]:Table1[[#This Row],[Total Sales]],"&lt;&gt;#N/A")</f>
        <v>1.71</v>
      </c>
      <c r="P484">
        <f>_xlfn.MAXIFS(Table1[[#This Row],[VGChartz Score]:[User Score]],Table1[[#This Row],[VGChartz Score]:[User Score]],"&lt;&gt;#N/A")</f>
        <v>8</v>
      </c>
    </row>
    <row r="485" spans="1:16" hidden="1" x14ac:dyDescent="0.2">
      <c r="A485">
        <f t="shared" si="9"/>
        <v>484</v>
      </c>
      <c r="B485">
        <v>184</v>
      </c>
      <c r="C485" t="s">
        <v>138</v>
      </c>
      <c r="D485" t="s">
        <v>356</v>
      </c>
      <c r="E485" t="s">
        <v>1305</v>
      </c>
      <c r="F485" t="s">
        <v>1574</v>
      </c>
      <c r="G485" t="e">
        <v>#N/A</v>
      </c>
      <c r="H485" t="e">
        <v>#N/A</v>
      </c>
      <c r="I485" t="e">
        <v>#N/A</v>
      </c>
      <c r="J485" s="2">
        <v>1.7</v>
      </c>
      <c r="K485" s="2" t="e">
        <v>#N/A</v>
      </c>
      <c r="L485" t="s">
        <v>1719</v>
      </c>
      <c r="M485" t="s">
        <v>1720</v>
      </c>
      <c r="N485">
        <f>2000+RIGHT(Table1[[#This Row],[Release Date]],2)</f>
        <v>2021</v>
      </c>
      <c r="O485">
        <f>_xlfn.MAXIFS(Table1[[#This Row],[Total Shipped]]:Table1[[#This Row],[Total Sales]],Table1[[#This Row],[Total Shipped]]:Table1[[#This Row],[Total Sales]],"&lt;&gt;#N/A")</f>
        <v>1.7</v>
      </c>
      <c r="P485">
        <f>_xlfn.MAXIFS(Table1[[#This Row],[VGChartz Score]:[User Score]],Table1[[#This Row],[VGChartz Score]:[User Score]],"&lt;&gt;#N/A")</f>
        <v>0</v>
      </c>
    </row>
    <row r="486" spans="1:16" hidden="1" x14ac:dyDescent="0.2">
      <c r="A486">
        <f t="shared" si="9"/>
        <v>485</v>
      </c>
      <c r="B486">
        <v>185</v>
      </c>
      <c r="C486" t="s">
        <v>138</v>
      </c>
      <c r="D486" t="s">
        <v>1721</v>
      </c>
      <c r="E486" t="s">
        <v>1305</v>
      </c>
      <c r="F486" t="s">
        <v>1392</v>
      </c>
      <c r="G486" t="e">
        <v>#N/A</v>
      </c>
      <c r="H486" t="e">
        <v>#N/A</v>
      </c>
      <c r="I486" t="e">
        <v>#N/A</v>
      </c>
      <c r="J486" s="1">
        <v>1.7</v>
      </c>
      <c r="K486" s="1" t="e">
        <v>#N/A</v>
      </c>
      <c r="L486" t="s">
        <v>1722</v>
      </c>
      <c r="M486" t="e">
        <v>#N/A</v>
      </c>
      <c r="N486">
        <f>2000+RIGHT(Table1[[#This Row],[Release Date]],2)</f>
        <v>2002</v>
      </c>
      <c r="O486">
        <f>_xlfn.MAXIFS(Table1[[#This Row],[Total Shipped]]:Table1[[#This Row],[Total Sales]],Table1[[#This Row],[Total Shipped]]:Table1[[#This Row],[Total Sales]],"&lt;&gt;#N/A")</f>
        <v>1.7</v>
      </c>
      <c r="P486">
        <f>_xlfn.MAXIFS(Table1[[#This Row],[VGChartz Score]:[User Score]],Table1[[#This Row],[VGChartz Score]:[User Score]],"&lt;&gt;#N/A")</f>
        <v>0</v>
      </c>
    </row>
    <row r="487" spans="1:16" hidden="1" x14ac:dyDescent="0.2">
      <c r="A487">
        <f t="shared" si="9"/>
        <v>486</v>
      </c>
      <c r="B487">
        <v>186</v>
      </c>
      <c r="C487" t="s">
        <v>138</v>
      </c>
      <c r="D487" t="s">
        <v>1723</v>
      </c>
      <c r="E487" t="s">
        <v>1305</v>
      </c>
      <c r="F487" t="s">
        <v>1523</v>
      </c>
      <c r="G487" t="e">
        <v>#N/A</v>
      </c>
      <c r="H487" t="e">
        <v>#N/A</v>
      </c>
      <c r="I487" t="e">
        <v>#N/A</v>
      </c>
      <c r="J487" s="2">
        <v>1.7</v>
      </c>
      <c r="K487" s="2" t="e">
        <v>#N/A</v>
      </c>
      <c r="L487" t="e">
        <v>#N/A</v>
      </c>
      <c r="M487" t="s">
        <v>1344</v>
      </c>
      <c r="N487" t="e">
        <f>2000+RIGHT(Table1[[#This Row],[Release Date]],2)</f>
        <v>#N/A</v>
      </c>
      <c r="O487">
        <f>_xlfn.MAXIFS(Table1[[#This Row],[Total Shipped]]:Table1[[#This Row],[Total Sales]],Table1[[#This Row],[Total Shipped]]:Table1[[#This Row],[Total Sales]],"&lt;&gt;#N/A")</f>
        <v>1.7</v>
      </c>
      <c r="P487">
        <f>_xlfn.MAXIFS(Table1[[#This Row],[VGChartz Score]:[User Score]],Table1[[#This Row],[VGChartz Score]:[User Score]],"&lt;&gt;#N/A")</f>
        <v>0</v>
      </c>
    </row>
    <row r="488" spans="1:16" hidden="1" x14ac:dyDescent="0.2">
      <c r="A488">
        <f t="shared" si="9"/>
        <v>487</v>
      </c>
      <c r="B488">
        <v>187</v>
      </c>
      <c r="C488" t="s">
        <v>138</v>
      </c>
      <c r="D488" t="s">
        <v>1724</v>
      </c>
      <c r="E488" t="s">
        <v>1305</v>
      </c>
      <c r="F488" t="s">
        <v>1725</v>
      </c>
      <c r="G488" t="e">
        <v>#N/A</v>
      </c>
      <c r="H488" t="e">
        <v>#N/A</v>
      </c>
      <c r="I488" t="e">
        <v>#N/A</v>
      </c>
      <c r="J488" s="1">
        <v>1.7</v>
      </c>
      <c r="K488" s="1" t="e">
        <v>#N/A</v>
      </c>
      <c r="L488" t="s">
        <v>1726</v>
      </c>
      <c r="M488" t="s">
        <v>1252</v>
      </c>
      <c r="N488">
        <f>2000+RIGHT(Table1[[#This Row],[Release Date]],2)</f>
        <v>2013</v>
      </c>
      <c r="O488">
        <f>_xlfn.MAXIFS(Table1[[#This Row],[Total Shipped]]:Table1[[#This Row],[Total Sales]],Table1[[#This Row],[Total Shipped]]:Table1[[#This Row],[Total Sales]],"&lt;&gt;#N/A")</f>
        <v>1.7</v>
      </c>
      <c r="P488">
        <f>_xlfn.MAXIFS(Table1[[#This Row],[VGChartz Score]:[User Score]],Table1[[#This Row],[VGChartz Score]:[User Score]],"&lt;&gt;#N/A")</f>
        <v>0</v>
      </c>
    </row>
    <row r="489" spans="1:16" hidden="1" x14ac:dyDescent="0.2">
      <c r="A489">
        <f t="shared" si="9"/>
        <v>488</v>
      </c>
      <c r="B489">
        <v>188</v>
      </c>
      <c r="C489" t="s">
        <v>138</v>
      </c>
      <c r="D489" t="s">
        <v>1727</v>
      </c>
      <c r="E489" t="s">
        <v>1305</v>
      </c>
      <c r="F489" t="s">
        <v>324</v>
      </c>
      <c r="G489" t="e">
        <v>#N/A</v>
      </c>
      <c r="H489">
        <v>7.5</v>
      </c>
      <c r="I489" t="e">
        <v>#N/A</v>
      </c>
      <c r="J489" s="2" t="e">
        <v>#N/A</v>
      </c>
      <c r="K489" s="2">
        <v>1.69</v>
      </c>
      <c r="L489" t="s">
        <v>716</v>
      </c>
      <c r="M489" t="e">
        <v>#N/A</v>
      </c>
      <c r="N489">
        <f>2000+RIGHT(Table1[[#This Row],[Release Date]],2)</f>
        <v>2010</v>
      </c>
      <c r="O489">
        <f>_xlfn.MAXIFS(Table1[[#This Row],[Total Shipped]]:Table1[[#This Row],[Total Sales]],Table1[[#This Row],[Total Shipped]]:Table1[[#This Row],[Total Sales]],"&lt;&gt;#N/A")</f>
        <v>1.69</v>
      </c>
      <c r="P489">
        <f>_xlfn.MAXIFS(Table1[[#This Row],[VGChartz Score]:[User Score]],Table1[[#This Row],[VGChartz Score]:[User Score]],"&lt;&gt;#N/A")</f>
        <v>7.5</v>
      </c>
    </row>
    <row r="490" spans="1:16" hidden="1" x14ac:dyDescent="0.2">
      <c r="A490">
        <f t="shared" si="9"/>
        <v>489</v>
      </c>
      <c r="B490">
        <v>189</v>
      </c>
      <c r="C490" t="s">
        <v>138</v>
      </c>
      <c r="D490" t="s">
        <v>1728</v>
      </c>
      <c r="E490" t="s">
        <v>1305</v>
      </c>
      <c r="F490" t="s">
        <v>1712</v>
      </c>
      <c r="G490" t="e">
        <v>#N/A</v>
      </c>
      <c r="H490" t="e">
        <v>#N/A</v>
      </c>
      <c r="I490" t="e">
        <v>#N/A</v>
      </c>
      <c r="J490" s="1">
        <v>1.68</v>
      </c>
      <c r="K490" s="1" t="e">
        <v>#N/A</v>
      </c>
      <c r="L490" t="s">
        <v>1729</v>
      </c>
      <c r="M490" t="s">
        <v>263</v>
      </c>
      <c r="N490">
        <f>2000+RIGHT(Table1[[#This Row],[Release Date]],2)</f>
        <v>2014</v>
      </c>
      <c r="O490">
        <f>_xlfn.MAXIFS(Table1[[#This Row],[Total Shipped]]:Table1[[#This Row],[Total Sales]],Table1[[#This Row],[Total Shipped]]:Table1[[#This Row],[Total Sales]],"&lt;&gt;#N/A")</f>
        <v>1.68</v>
      </c>
      <c r="P490">
        <f>_xlfn.MAXIFS(Table1[[#This Row],[VGChartz Score]:[User Score]],Table1[[#This Row],[VGChartz Score]:[User Score]],"&lt;&gt;#N/A")</f>
        <v>0</v>
      </c>
    </row>
    <row r="491" spans="1:16" hidden="1" x14ac:dyDescent="0.2">
      <c r="A491">
        <f t="shared" si="9"/>
        <v>490</v>
      </c>
      <c r="B491">
        <v>190</v>
      </c>
      <c r="C491" t="s">
        <v>138</v>
      </c>
      <c r="D491" t="s">
        <v>1730</v>
      </c>
      <c r="E491" t="s">
        <v>1305</v>
      </c>
      <c r="F491" t="s">
        <v>324</v>
      </c>
      <c r="G491" t="e">
        <v>#N/A</v>
      </c>
      <c r="H491" t="e">
        <v>#N/A</v>
      </c>
      <c r="I491" t="e">
        <v>#N/A</v>
      </c>
      <c r="J491" s="2" t="e">
        <v>#N/A</v>
      </c>
      <c r="K491" s="2">
        <v>1.68</v>
      </c>
      <c r="L491" t="s">
        <v>823</v>
      </c>
      <c r="M491" t="e">
        <v>#N/A</v>
      </c>
      <c r="N491">
        <f>2000+RIGHT(Table1[[#This Row],[Release Date]],2)</f>
        <v>2003</v>
      </c>
      <c r="O491">
        <f>_xlfn.MAXIFS(Table1[[#This Row],[Total Shipped]]:Table1[[#This Row],[Total Sales]],Table1[[#This Row],[Total Shipped]]:Table1[[#This Row],[Total Sales]],"&lt;&gt;#N/A")</f>
        <v>1.68</v>
      </c>
      <c r="P491">
        <f>_xlfn.MAXIFS(Table1[[#This Row],[VGChartz Score]:[User Score]],Table1[[#This Row],[VGChartz Score]:[User Score]],"&lt;&gt;#N/A")</f>
        <v>0</v>
      </c>
    </row>
    <row r="492" spans="1:16" hidden="1" x14ac:dyDescent="0.2">
      <c r="A492">
        <f t="shared" si="9"/>
        <v>491</v>
      </c>
      <c r="B492">
        <v>191</v>
      </c>
      <c r="C492" t="s">
        <v>138</v>
      </c>
      <c r="D492" t="s">
        <v>1731</v>
      </c>
      <c r="E492" t="s">
        <v>1305</v>
      </c>
      <c r="F492" t="s">
        <v>1732</v>
      </c>
      <c r="G492">
        <v>8.4</v>
      </c>
      <c r="H492">
        <v>9</v>
      </c>
      <c r="I492" t="e">
        <v>#N/A</v>
      </c>
      <c r="J492" s="1">
        <v>1.65</v>
      </c>
      <c r="K492" s="1" t="e">
        <v>#N/A</v>
      </c>
      <c r="L492" t="s">
        <v>1733</v>
      </c>
      <c r="M492" t="e">
        <v>#N/A</v>
      </c>
      <c r="N492">
        <f>2000+RIGHT(Table1[[#This Row],[Release Date]],2)</f>
        <v>2009</v>
      </c>
      <c r="O492">
        <f>_xlfn.MAXIFS(Table1[[#This Row],[Total Shipped]]:Table1[[#This Row],[Total Sales]],Table1[[#This Row],[Total Shipped]]:Table1[[#This Row],[Total Sales]],"&lt;&gt;#N/A")</f>
        <v>1.65</v>
      </c>
      <c r="P492">
        <f>_xlfn.MAXIFS(Table1[[#This Row],[VGChartz Score]:[User Score]],Table1[[#This Row],[VGChartz Score]:[User Score]],"&lt;&gt;#N/A")</f>
        <v>9</v>
      </c>
    </row>
    <row r="493" spans="1:16" hidden="1" x14ac:dyDescent="0.2">
      <c r="A493">
        <f t="shared" si="9"/>
        <v>492</v>
      </c>
      <c r="B493">
        <v>192</v>
      </c>
      <c r="C493" t="s">
        <v>138</v>
      </c>
      <c r="D493" t="s">
        <v>534</v>
      </c>
      <c r="E493" t="s">
        <v>1305</v>
      </c>
      <c r="F493" t="s">
        <v>233</v>
      </c>
      <c r="G493" t="e">
        <v>#N/A</v>
      </c>
      <c r="H493">
        <v>8.5</v>
      </c>
      <c r="I493" t="e">
        <v>#N/A</v>
      </c>
      <c r="J493" s="2" t="e">
        <v>#N/A</v>
      </c>
      <c r="K493" s="2">
        <v>1.62</v>
      </c>
      <c r="L493" t="s">
        <v>535</v>
      </c>
      <c r="M493" t="e">
        <v>#N/A</v>
      </c>
      <c r="N493">
        <f>2000+RIGHT(Table1[[#This Row],[Release Date]],2)</f>
        <v>2010</v>
      </c>
      <c r="O493">
        <f>_xlfn.MAXIFS(Table1[[#This Row],[Total Shipped]]:Table1[[#This Row],[Total Sales]],Table1[[#This Row],[Total Shipped]]:Table1[[#This Row],[Total Sales]],"&lt;&gt;#N/A")</f>
        <v>1.62</v>
      </c>
      <c r="P493">
        <f>_xlfn.MAXIFS(Table1[[#This Row],[VGChartz Score]:[User Score]],Table1[[#This Row],[VGChartz Score]:[User Score]],"&lt;&gt;#N/A")</f>
        <v>8.5</v>
      </c>
    </row>
    <row r="494" spans="1:16" hidden="1" x14ac:dyDescent="0.2">
      <c r="A494">
        <f t="shared" si="9"/>
        <v>493</v>
      </c>
      <c r="B494">
        <v>193</v>
      </c>
      <c r="C494" t="s">
        <v>138</v>
      </c>
      <c r="D494" t="s">
        <v>1734</v>
      </c>
      <c r="E494" t="s">
        <v>1305</v>
      </c>
      <c r="F494" t="s">
        <v>297</v>
      </c>
      <c r="G494" t="e">
        <v>#N/A</v>
      </c>
      <c r="H494" t="e">
        <v>#N/A</v>
      </c>
      <c r="I494" t="e">
        <v>#N/A</v>
      </c>
      <c r="J494" s="1">
        <v>1.6</v>
      </c>
      <c r="K494" s="1" t="e">
        <v>#N/A</v>
      </c>
      <c r="L494" t="s">
        <v>533</v>
      </c>
      <c r="M494" t="e">
        <v>#N/A</v>
      </c>
      <c r="N494">
        <f>2000+RIGHT(Table1[[#This Row],[Release Date]],2)</f>
        <v>2011</v>
      </c>
      <c r="O494">
        <f>_xlfn.MAXIFS(Table1[[#This Row],[Total Shipped]]:Table1[[#This Row],[Total Sales]],Table1[[#This Row],[Total Shipped]]:Table1[[#This Row],[Total Sales]],"&lt;&gt;#N/A")</f>
        <v>1.6</v>
      </c>
      <c r="P494">
        <f>_xlfn.MAXIFS(Table1[[#This Row],[VGChartz Score]:[User Score]],Table1[[#This Row],[VGChartz Score]:[User Score]],"&lt;&gt;#N/A")</f>
        <v>0</v>
      </c>
    </row>
    <row r="495" spans="1:16" hidden="1" x14ac:dyDescent="0.2">
      <c r="A495">
        <f t="shared" si="9"/>
        <v>494</v>
      </c>
      <c r="B495">
        <v>194</v>
      </c>
      <c r="C495" t="s">
        <v>138</v>
      </c>
      <c r="D495" t="s">
        <v>1735</v>
      </c>
      <c r="E495" t="s">
        <v>1305</v>
      </c>
      <c r="F495" t="s">
        <v>1736</v>
      </c>
      <c r="G495" t="e">
        <v>#N/A</v>
      </c>
      <c r="H495">
        <v>8.1999999999999993</v>
      </c>
      <c r="I495">
        <v>9</v>
      </c>
      <c r="J495" s="2">
        <v>1.56</v>
      </c>
      <c r="K495" s="2" t="e">
        <v>#N/A</v>
      </c>
      <c r="L495" t="s">
        <v>1737</v>
      </c>
      <c r="M495" t="e">
        <v>#N/A</v>
      </c>
      <c r="N495">
        <f>2000+RIGHT(Table1[[#This Row],[Release Date]],2)</f>
        <v>2008</v>
      </c>
      <c r="O495">
        <f>_xlfn.MAXIFS(Table1[[#This Row],[Total Shipped]]:Table1[[#This Row],[Total Sales]],Table1[[#This Row],[Total Shipped]]:Table1[[#This Row],[Total Sales]],"&lt;&gt;#N/A")</f>
        <v>1.56</v>
      </c>
      <c r="P495">
        <f>_xlfn.MAXIFS(Table1[[#This Row],[VGChartz Score]:[User Score]],Table1[[#This Row],[VGChartz Score]:[User Score]],"&lt;&gt;#N/A")</f>
        <v>9</v>
      </c>
    </row>
    <row r="496" spans="1:16" hidden="1" x14ac:dyDescent="0.2">
      <c r="A496">
        <f t="shared" si="9"/>
        <v>495</v>
      </c>
      <c r="B496">
        <v>195</v>
      </c>
      <c r="C496" t="s">
        <v>138</v>
      </c>
      <c r="D496" t="s">
        <v>1738</v>
      </c>
      <c r="E496" t="s">
        <v>1305</v>
      </c>
      <c r="F496" t="s">
        <v>1378</v>
      </c>
      <c r="G496" t="e">
        <v>#N/A</v>
      </c>
      <c r="H496">
        <v>9.3000000000000007</v>
      </c>
      <c r="I496" t="e">
        <v>#N/A</v>
      </c>
      <c r="J496" s="1">
        <v>1.56</v>
      </c>
      <c r="K496" s="1" t="e">
        <v>#N/A</v>
      </c>
      <c r="L496" t="s">
        <v>1659</v>
      </c>
      <c r="M496" t="s">
        <v>1714</v>
      </c>
      <c r="N496">
        <f>2000+RIGHT(Table1[[#This Row],[Release Date]],2)</f>
        <v>2012</v>
      </c>
      <c r="O496">
        <f>_xlfn.MAXIFS(Table1[[#This Row],[Total Shipped]]:Table1[[#This Row],[Total Sales]],Table1[[#This Row],[Total Shipped]]:Table1[[#This Row],[Total Sales]],"&lt;&gt;#N/A")</f>
        <v>1.56</v>
      </c>
      <c r="P496">
        <f>_xlfn.MAXIFS(Table1[[#This Row],[VGChartz Score]:[User Score]],Table1[[#This Row],[VGChartz Score]:[User Score]],"&lt;&gt;#N/A")</f>
        <v>9.3000000000000007</v>
      </c>
    </row>
    <row r="497" spans="1:16" hidden="1" x14ac:dyDescent="0.2">
      <c r="A497">
        <f t="shared" si="9"/>
        <v>496</v>
      </c>
      <c r="B497">
        <v>196</v>
      </c>
      <c r="C497" t="s">
        <v>138</v>
      </c>
      <c r="D497" t="s">
        <v>1739</v>
      </c>
      <c r="E497" t="s">
        <v>1305</v>
      </c>
      <c r="F497" t="s">
        <v>484</v>
      </c>
      <c r="G497" t="e">
        <v>#N/A</v>
      </c>
      <c r="H497">
        <v>8.5</v>
      </c>
      <c r="I497" t="e">
        <v>#N/A</v>
      </c>
      <c r="J497" s="2">
        <v>1.56</v>
      </c>
      <c r="K497" s="2" t="e">
        <v>#N/A</v>
      </c>
      <c r="L497" t="s">
        <v>1740</v>
      </c>
      <c r="M497" t="e">
        <v>#N/A</v>
      </c>
      <c r="N497">
        <f>2000+RIGHT(Table1[[#This Row],[Release Date]],2)</f>
        <v>2010</v>
      </c>
      <c r="O497">
        <f>_xlfn.MAXIFS(Table1[[#This Row],[Total Shipped]]:Table1[[#This Row],[Total Sales]],Table1[[#This Row],[Total Shipped]]:Table1[[#This Row],[Total Sales]],"&lt;&gt;#N/A")</f>
        <v>1.56</v>
      </c>
      <c r="P497">
        <f>_xlfn.MAXIFS(Table1[[#This Row],[VGChartz Score]:[User Score]],Table1[[#This Row],[VGChartz Score]:[User Score]],"&lt;&gt;#N/A")</f>
        <v>8.5</v>
      </c>
    </row>
    <row r="498" spans="1:16" hidden="1" x14ac:dyDescent="0.2">
      <c r="A498">
        <f t="shared" si="9"/>
        <v>497</v>
      </c>
      <c r="B498">
        <v>197</v>
      </c>
      <c r="C498" t="s">
        <v>138</v>
      </c>
      <c r="D498" t="s">
        <v>1741</v>
      </c>
      <c r="E498" t="s">
        <v>1305</v>
      </c>
      <c r="F498" t="s">
        <v>254</v>
      </c>
      <c r="G498" t="e">
        <v>#N/A</v>
      </c>
      <c r="H498" t="e">
        <v>#N/A</v>
      </c>
      <c r="I498" t="e">
        <v>#N/A</v>
      </c>
      <c r="J498" s="1">
        <v>1.53</v>
      </c>
      <c r="K498" s="1" t="e">
        <v>#N/A</v>
      </c>
      <c r="L498" t="s">
        <v>1742</v>
      </c>
      <c r="M498" t="s">
        <v>1660</v>
      </c>
      <c r="N498">
        <f>2000+RIGHT(Table1[[#This Row],[Release Date]],2)</f>
        <v>2016</v>
      </c>
      <c r="O498">
        <f>_xlfn.MAXIFS(Table1[[#This Row],[Total Shipped]]:Table1[[#This Row],[Total Sales]],Table1[[#This Row],[Total Shipped]]:Table1[[#This Row],[Total Sales]],"&lt;&gt;#N/A")</f>
        <v>1.53</v>
      </c>
      <c r="P498">
        <f>_xlfn.MAXIFS(Table1[[#This Row],[VGChartz Score]:[User Score]],Table1[[#This Row],[VGChartz Score]:[User Score]],"&lt;&gt;#N/A")</f>
        <v>0</v>
      </c>
    </row>
    <row r="499" spans="1:16" hidden="1" x14ac:dyDescent="0.2">
      <c r="A499">
        <f t="shared" si="9"/>
        <v>498</v>
      </c>
      <c r="B499">
        <v>198</v>
      </c>
      <c r="C499" t="s">
        <v>138</v>
      </c>
      <c r="D499" t="s">
        <v>1743</v>
      </c>
      <c r="E499" t="s">
        <v>1305</v>
      </c>
      <c r="F499" t="s">
        <v>1523</v>
      </c>
      <c r="G499" t="e">
        <v>#N/A</v>
      </c>
      <c r="H499" t="e">
        <v>#N/A</v>
      </c>
      <c r="I499" t="e">
        <v>#N/A</v>
      </c>
      <c r="J499" s="2">
        <v>1.53</v>
      </c>
      <c r="K499" s="2" t="e">
        <v>#N/A</v>
      </c>
      <c r="L499" t="e">
        <v>#N/A</v>
      </c>
      <c r="M499" t="s">
        <v>1744</v>
      </c>
      <c r="N499" t="e">
        <f>2000+RIGHT(Table1[[#This Row],[Release Date]],2)</f>
        <v>#N/A</v>
      </c>
      <c r="O499">
        <f>_xlfn.MAXIFS(Table1[[#This Row],[Total Shipped]]:Table1[[#This Row],[Total Sales]],Table1[[#This Row],[Total Shipped]]:Table1[[#This Row],[Total Sales]],"&lt;&gt;#N/A")</f>
        <v>1.53</v>
      </c>
      <c r="P499">
        <f>_xlfn.MAXIFS(Table1[[#This Row],[VGChartz Score]:[User Score]],Table1[[#This Row],[VGChartz Score]:[User Score]],"&lt;&gt;#N/A")</f>
        <v>0</v>
      </c>
    </row>
    <row r="500" spans="1:16" hidden="1" x14ac:dyDescent="0.2">
      <c r="A500">
        <f t="shared" si="9"/>
        <v>499</v>
      </c>
      <c r="B500">
        <v>199</v>
      </c>
      <c r="C500" t="s">
        <v>138</v>
      </c>
      <c r="D500" t="s">
        <v>1745</v>
      </c>
      <c r="E500" t="s">
        <v>1305</v>
      </c>
      <c r="F500" t="s">
        <v>675</v>
      </c>
      <c r="G500" t="e">
        <v>#N/A</v>
      </c>
      <c r="H500" t="e">
        <v>#N/A</v>
      </c>
      <c r="I500" t="e">
        <v>#N/A</v>
      </c>
      <c r="J500" s="1">
        <v>1.53</v>
      </c>
      <c r="K500" s="1" t="e">
        <v>#N/A</v>
      </c>
      <c r="L500" t="s">
        <v>1746</v>
      </c>
      <c r="M500" t="e">
        <v>#N/A</v>
      </c>
      <c r="N500">
        <f>2000+RIGHT(Table1[[#This Row],[Release Date]],2)</f>
        <v>2005</v>
      </c>
      <c r="O500">
        <f>_xlfn.MAXIFS(Table1[[#This Row],[Total Shipped]]:Table1[[#This Row],[Total Sales]],Table1[[#This Row],[Total Shipped]]:Table1[[#This Row],[Total Sales]],"&lt;&gt;#N/A")</f>
        <v>1.53</v>
      </c>
      <c r="P500">
        <f>_xlfn.MAXIFS(Table1[[#This Row],[VGChartz Score]:[User Score]],Table1[[#This Row],[VGChartz Score]:[User Score]],"&lt;&gt;#N/A")</f>
        <v>0</v>
      </c>
    </row>
    <row r="501" spans="1:16" hidden="1" x14ac:dyDescent="0.2">
      <c r="A501">
        <f t="shared" si="9"/>
        <v>500</v>
      </c>
      <c r="B501">
        <v>200</v>
      </c>
      <c r="C501" t="s">
        <v>138</v>
      </c>
      <c r="D501" t="s">
        <v>1747</v>
      </c>
      <c r="E501" t="s">
        <v>1305</v>
      </c>
      <c r="F501" t="s">
        <v>1065</v>
      </c>
      <c r="G501" t="e">
        <v>#N/A</v>
      </c>
      <c r="H501" t="e">
        <v>#N/A</v>
      </c>
      <c r="I501" t="e">
        <v>#N/A</v>
      </c>
      <c r="J501" s="2">
        <v>1.51</v>
      </c>
      <c r="K501" s="2" t="e">
        <v>#N/A</v>
      </c>
      <c r="L501" t="s">
        <v>1748</v>
      </c>
      <c r="M501" t="e">
        <v>#N/A</v>
      </c>
      <c r="N501">
        <f>2000+RIGHT(Table1[[#This Row],[Release Date]],2)</f>
        <v>2013</v>
      </c>
      <c r="O501">
        <f>_xlfn.MAXIFS(Table1[[#This Row],[Total Shipped]]:Table1[[#This Row],[Total Sales]],Table1[[#This Row],[Total Shipped]]:Table1[[#This Row],[Total Sales]],"&lt;&gt;#N/A")</f>
        <v>1.51</v>
      </c>
      <c r="P501">
        <f>_xlfn.MAXIFS(Table1[[#This Row],[VGChartz Score]:[User Score]],Table1[[#This Row],[VGChartz Score]:[User Score]],"&lt;&gt;#N/A")</f>
        <v>0</v>
      </c>
    </row>
    <row r="502" spans="1:16" hidden="1" x14ac:dyDescent="0.2">
      <c r="A502">
        <f t="shared" si="9"/>
        <v>501</v>
      </c>
      <c r="B502">
        <v>1</v>
      </c>
      <c r="C502" t="s">
        <v>138</v>
      </c>
      <c r="D502" t="s">
        <v>296</v>
      </c>
      <c r="E502" t="s">
        <v>527</v>
      </c>
      <c r="F502" t="s">
        <v>297</v>
      </c>
      <c r="G502">
        <v>9.5</v>
      </c>
      <c r="H502">
        <v>9.4</v>
      </c>
      <c r="I502" t="e">
        <v>#N/A</v>
      </c>
      <c r="J502" s="1" t="e">
        <v>#N/A</v>
      </c>
      <c r="K502" s="1">
        <v>20.32</v>
      </c>
      <c r="L502" t="s">
        <v>528</v>
      </c>
      <c r="M502" t="e">
        <v>#N/A</v>
      </c>
      <c r="N502">
        <f>2000+RIGHT(Table1[[#This Row],[Release Date]],2)</f>
        <v>2013</v>
      </c>
      <c r="O502">
        <f>_xlfn.MAXIFS(Table1[[#This Row],[Total Shipped]]:Table1[[#This Row],[Total Sales]],Table1[[#This Row],[Total Shipped]]:Table1[[#This Row],[Total Sales]],"&lt;&gt;#N/A")</f>
        <v>20.32</v>
      </c>
      <c r="P502">
        <f>_xlfn.MAXIFS(Table1[[#This Row],[VGChartz Score]:[User Score]],Table1[[#This Row],[VGChartz Score]:[User Score]],"&lt;&gt;#N/A")</f>
        <v>9.5</v>
      </c>
    </row>
    <row r="503" spans="1:16" hidden="1" x14ac:dyDescent="0.2">
      <c r="A503">
        <f t="shared" si="9"/>
        <v>502</v>
      </c>
      <c r="B503">
        <v>2</v>
      </c>
      <c r="C503" t="s">
        <v>138</v>
      </c>
      <c r="D503" t="s">
        <v>529</v>
      </c>
      <c r="E503" t="s">
        <v>527</v>
      </c>
      <c r="F503" t="s">
        <v>233</v>
      </c>
      <c r="G503" t="e">
        <v>#N/A</v>
      </c>
      <c r="H503">
        <v>8</v>
      </c>
      <c r="I503" t="e">
        <v>#N/A</v>
      </c>
      <c r="J503" s="2" t="e">
        <v>#N/A</v>
      </c>
      <c r="K503" s="2">
        <v>13.8</v>
      </c>
      <c r="L503" t="s">
        <v>530</v>
      </c>
      <c r="M503" t="s">
        <v>531</v>
      </c>
      <c r="N503">
        <f>2000+RIGHT(Table1[[#This Row],[Release Date]],2)</f>
        <v>2012</v>
      </c>
      <c r="O503">
        <f>_xlfn.MAXIFS(Table1[[#This Row],[Total Shipped]]:Table1[[#This Row],[Total Sales]],Table1[[#This Row],[Total Shipped]]:Table1[[#This Row],[Total Sales]],"&lt;&gt;#N/A")</f>
        <v>13.8</v>
      </c>
      <c r="P503">
        <f>_xlfn.MAXIFS(Table1[[#This Row],[VGChartz Score]:[User Score]],Table1[[#This Row],[VGChartz Score]:[User Score]],"&lt;&gt;#N/A")</f>
        <v>8</v>
      </c>
    </row>
    <row r="504" spans="1:16" hidden="1" x14ac:dyDescent="0.2">
      <c r="A504">
        <f t="shared" si="9"/>
        <v>503</v>
      </c>
      <c r="B504">
        <v>3</v>
      </c>
      <c r="C504" t="s">
        <v>138</v>
      </c>
      <c r="D504" t="s">
        <v>532</v>
      </c>
      <c r="E504" t="s">
        <v>527</v>
      </c>
      <c r="F504" t="s">
        <v>233</v>
      </c>
      <c r="G504">
        <v>8.6</v>
      </c>
      <c r="H504">
        <v>8.8000000000000007</v>
      </c>
      <c r="I504" t="e">
        <v>#N/A</v>
      </c>
      <c r="J504" s="1" t="e">
        <v>#N/A</v>
      </c>
      <c r="K504" s="1">
        <v>13.35</v>
      </c>
      <c r="L504" t="s">
        <v>533</v>
      </c>
      <c r="M504" t="e">
        <v>#N/A</v>
      </c>
      <c r="N504">
        <f>2000+RIGHT(Table1[[#This Row],[Release Date]],2)</f>
        <v>2011</v>
      </c>
      <c r="O504">
        <f>_xlfn.MAXIFS(Table1[[#This Row],[Total Shipped]]:Table1[[#This Row],[Total Sales]],Table1[[#This Row],[Total Shipped]]:Table1[[#This Row],[Total Sales]],"&lt;&gt;#N/A")</f>
        <v>13.35</v>
      </c>
      <c r="P504">
        <f>_xlfn.MAXIFS(Table1[[#This Row],[VGChartz Score]:[User Score]],Table1[[#This Row],[VGChartz Score]:[User Score]],"&lt;&gt;#N/A")</f>
        <v>8.8000000000000007</v>
      </c>
    </row>
    <row r="505" spans="1:16" hidden="1" x14ac:dyDescent="0.2">
      <c r="A505">
        <f t="shared" si="9"/>
        <v>504</v>
      </c>
      <c r="B505">
        <v>4</v>
      </c>
      <c r="C505" t="s">
        <v>138</v>
      </c>
      <c r="D505" t="s">
        <v>534</v>
      </c>
      <c r="E505" t="s">
        <v>527</v>
      </c>
      <c r="F505" t="s">
        <v>233</v>
      </c>
      <c r="G505">
        <v>8.6999999999999993</v>
      </c>
      <c r="H505">
        <v>8.6999999999999993</v>
      </c>
      <c r="I505" t="e">
        <v>#N/A</v>
      </c>
      <c r="J505" s="2" t="e">
        <v>#N/A</v>
      </c>
      <c r="K505" s="2">
        <v>12.67</v>
      </c>
      <c r="L505" t="s">
        <v>535</v>
      </c>
      <c r="M505" t="e">
        <v>#N/A</v>
      </c>
      <c r="N505">
        <f>2000+RIGHT(Table1[[#This Row],[Release Date]],2)</f>
        <v>2010</v>
      </c>
      <c r="O505">
        <f>_xlfn.MAXIFS(Table1[[#This Row],[Total Shipped]]:Table1[[#This Row],[Total Sales]],Table1[[#This Row],[Total Shipped]]:Table1[[#This Row],[Total Sales]],"&lt;&gt;#N/A")</f>
        <v>12.67</v>
      </c>
      <c r="P505">
        <f>_xlfn.MAXIFS(Table1[[#This Row],[VGChartz Score]:[User Score]],Table1[[#This Row],[VGChartz Score]:[User Score]],"&lt;&gt;#N/A")</f>
        <v>8.6999999999999993</v>
      </c>
    </row>
    <row r="506" spans="1:16" hidden="1" x14ac:dyDescent="0.2">
      <c r="A506">
        <f t="shared" si="9"/>
        <v>505</v>
      </c>
      <c r="B506">
        <v>5</v>
      </c>
      <c r="C506" t="s">
        <v>138</v>
      </c>
      <c r="D506" t="s">
        <v>536</v>
      </c>
      <c r="E506" t="s">
        <v>527</v>
      </c>
      <c r="F506" t="s">
        <v>307</v>
      </c>
      <c r="G506">
        <v>8.8000000000000007</v>
      </c>
      <c r="H506">
        <v>8.3000000000000007</v>
      </c>
      <c r="I506" t="e">
        <v>#N/A</v>
      </c>
      <c r="J506" s="1">
        <v>11.95</v>
      </c>
      <c r="K506" s="1" t="e">
        <v>#N/A</v>
      </c>
      <c r="L506" t="s">
        <v>537</v>
      </c>
      <c r="M506" t="e">
        <v>#N/A</v>
      </c>
      <c r="N506">
        <f>2000+RIGHT(Table1[[#This Row],[Release Date]],2)</f>
        <v>2010</v>
      </c>
      <c r="O506">
        <f>_xlfn.MAXIFS(Table1[[#This Row],[Total Shipped]]:Table1[[#This Row],[Total Sales]],Table1[[#This Row],[Total Shipped]]:Table1[[#This Row],[Total Sales]],"&lt;&gt;#N/A")</f>
        <v>11.95</v>
      </c>
      <c r="P506">
        <f>_xlfn.MAXIFS(Table1[[#This Row],[VGChartz Score]:[User Score]],Table1[[#This Row],[VGChartz Score]:[User Score]],"&lt;&gt;#N/A")</f>
        <v>8.8000000000000007</v>
      </c>
    </row>
    <row r="507" spans="1:16" hidden="1" x14ac:dyDescent="0.2">
      <c r="A507">
        <f t="shared" si="9"/>
        <v>506</v>
      </c>
      <c r="B507">
        <v>6</v>
      </c>
      <c r="C507" t="s">
        <v>138</v>
      </c>
      <c r="D507" t="s">
        <v>538</v>
      </c>
      <c r="E507" t="s">
        <v>527</v>
      </c>
      <c r="F507" t="s">
        <v>233</v>
      </c>
      <c r="G507">
        <v>9</v>
      </c>
      <c r="H507">
        <v>9.5</v>
      </c>
      <c r="I507" t="e">
        <v>#N/A</v>
      </c>
      <c r="J507" s="2" t="e">
        <v>#N/A</v>
      </c>
      <c r="K507" s="2">
        <v>10.61</v>
      </c>
      <c r="L507" t="s">
        <v>539</v>
      </c>
      <c r="M507" t="e">
        <v>#N/A</v>
      </c>
      <c r="N507">
        <f>2000+RIGHT(Table1[[#This Row],[Release Date]],2)</f>
        <v>2009</v>
      </c>
      <c r="O507">
        <f>_xlfn.MAXIFS(Table1[[#This Row],[Total Shipped]]:Table1[[#This Row],[Total Sales]],Table1[[#This Row],[Total Shipped]]:Table1[[#This Row],[Total Sales]],"&lt;&gt;#N/A")</f>
        <v>10.61</v>
      </c>
      <c r="P507">
        <f>_xlfn.MAXIFS(Table1[[#This Row],[VGChartz Score]:[User Score]],Table1[[#This Row],[VGChartz Score]:[User Score]],"&lt;&gt;#N/A")</f>
        <v>9.5</v>
      </c>
    </row>
    <row r="508" spans="1:16" hidden="1" x14ac:dyDescent="0.2">
      <c r="A508">
        <f t="shared" si="9"/>
        <v>507</v>
      </c>
      <c r="B508">
        <v>7</v>
      </c>
      <c r="C508" t="s">
        <v>138</v>
      </c>
      <c r="D508" t="s">
        <v>540</v>
      </c>
      <c r="E508" t="s">
        <v>527</v>
      </c>
      <c r="F508" t="s">
        <v>297</v>
      </c>
      <c r="G508">
        <v>9</v>
      </c>
      <c r="H508">
        <v>10</v>
      </c>
      <c r="I508">
        <v>9</v>
      </c>
      <c r="J508" s="1" t="e">
        <v>#N/A</v>
      </c>
      <c r="K508" s="1">
        <v>10.57</v>
      </c>
      <c r="L508" t="s">
        <v>541</v>
      </c>
      <c r="M508" t="e">
        <v>#N/A</v>
      </c>
      <c r="N508">
        <f>2000+RIGHT(Table1[[#This Row],[Release Date]],2)</f>
        <v>2008</v>
      </c>
      <c r="O508">
        <f>_xlfn.MAXIFS(Table1[[#This Row],[Total Shipped]]:Table1[[#This Row],[Total Sales]],Table1[[#This Row],[Total Shipped]]:Table1[[#This Row],[Total Sales]],"&lt;&gt;#N/A")</f>
        <v>10.57</v>
      </c>
      <c r="P508">
        <f>_xlfn.MAXIFS(Table1[[#This Row],[VGChartz Score]:[User Score]],Table1[[#This Row],[VGChartz Score]:[User Score]],"&lt;&gt;#N/A")</f>
        <v>10</v>
      </c>
    </row>
    <row r="509" spans="1:16" hidden="1" x14ac:dyDescent="0.2">
      <c r="A509">
        <f t="shared" si="9"/>
        <v>508</v>
      </c>
      <c r="B509">
        <v>8</v>
      </c>
      <c r="C509" t="s">
        <v>138</v>
      </c>
      <c r="D509" t="s">
        <v>412</v>
      </c>
      <c r="E509" t="s">
        <v>527</v>
      </c>
      <c r="F509" t="s">
        <v>233</v>
      </c>
      <c r="G509" t="e">
        <v>#N/A</v>
      </c>
      <c r="H509">
        <v>7.5</v>
      </c>
      <c r="I509" t="e">
        <v>#N/A</v>
      </c>
      <c r="J509" s="2" t="e">
        <v>#N/A</v>
      </c>
      <c r="K509" s="2">
        <v>10.130000000000001</v>
      </c>
      <c r="L509" t="s">
        <v>542</v>
      </c>
      <c r="M509" t="s">
        <v>414</v>
      </c>
      <c r="N509">
        <f>2000+RIGHT(Table1[[#This Row],[Release Date]],2)</f>
        <v>2013</v>
      </c>
      <c r="O509">
        <f>_xlfn.MAXIFS(Table1[[#This Row],[Total Shipped]]:Table1[[#This Row],[Total Sales]],Table1[[#This Row],[Total Shipped]]:Table1[[#This Row],[Total Sales]],"&lt;&gt;#N/A")</f>
        <v>10.130000000000001</v>
      </c>
      <c r="P509">
        <f>_xlfn.MAXIFS(Table1[[#This Row],[VGChartz Score]:[User Score]],Table1[[#This Row],[VGChartz Score]:[User Score]],"&lt;&gt;#N/A")</f>
        <v>7.5</v>
      </c>
    </row>
    <row r="510" spans="1:16" hidden="1" x14ac:dyDescent="0.2">
      <c r="A510">
        <f t="shared" si="9"/>
        <v>509</v>
      </c>
      <c r="B510">
        <v>9</v>
      </c>
      <c r="C510" t="s">
        <v>138</v>
      </c>
      <c r="D510" t="s">
        <v>543</v>
      </c>
      <c r="E510" t="s">
        <v>527</v>
      </c>
      <c r="F510" t="s">
        <v>307</v>
      </c>
      <c r="G510">
        <v>9</v>
      </c>
      <c r="H510">
        <v>9.3000000000000007</v>
      </c>
      <c r="I510">
        <v>6.3</v>
      </c>
      <c r="J510" s="1">
        <v>9.3000000000000007</v>
      </c>
      <c r="K510" s="1" t="e">
        <v>#N/A</v>
      </c>
      <c r="L510" t="s">
        <v>544</v>
      </c>
      <c r="M510" t="e">
        <v>#N/A</v>
      </c>
      <c r="N510">
        <f>2000+RIGHT(Table1[[#This Row],[Release Date]],2)</f>
        <v>2011</v>
      </c>
      <c r="O510">
        <f>_xlfn.MAXIFS(Table1[[#This Row],[Total Shipped]]:Table1[[#This Row],[Total Sales]],Table1[[#This Row],[Total Shipped]]:Table1[[#This Row],[Total Sales]],"&lt;&gt;#N/A")</f>
        <v>9.3000000000000007</v>
      </c>
      <c r="P510">
        <f>_xlfn.MAXIFS(Table1[[#This Row],[VGChartz Score]:[User Score]],Table1[[#This Row],[VGChartz Score]:[User Score]],"&lt;&gt;#N/A")</f>
        <v>9.3000000000000007</v>
      </c>
    </row>
    <row r="511" spans="1:16" hidden="1" x14ac:dyDescent="0.2">
      <c r="A511">
        <f t="shared" si="9"/>
        <v>510</v>
      </c>
      <c r="B511">
        <v>10</v>
      </c>
      <c r="C511" t="s">
        <v>138</v>
      </c>
      <c r="D511" t="s">
        <v>545</v>
      </c>
      <c r="E511" t="s">
        <v>527</v>
      </c>
      <c r="F511" t="s">
        <v>546</v>
      </c>
      <c r="G511">
        <v>9.5</v>
      </c>
      <c r="H511">
        <v>9.5</v>
      </c>
      <c r="I511" t="e">
        <v>#N/A</v>
      </c>
      <c r="J511" s="2">
        <v>8.15</v>
      </c>
      <c r="K511" s="2" t="e">
        <v>#N/A</v>
      </c>
      <c r="L511" t="s">
        <v>547</v>
      </c>
      <c r="M511" t="s">
        <v>309</v>
      </c>
      <c r="N511">
        <f>2000+RIGHT(Table1[[#This Row],[Release Date]],2)</f>
        <v>2013</v>
      </c>
      <c r="O511">
        <f>_xlfn.MAXIFS(Table1[[#This Row],[Total Shipped]]:Table1[[#This Row],[Total Sales]],Table1[[#This Row],[Total Shipped]]:Table1[[#This Row],[Total Sales]],"&lt;&gt;#N/A")</f>
        <v>8.15</v>
      </c>
      <c r="P511">
        <f>_xlfn.MAXIFS(Table1[[#This Row],[VGChartz Score]:[User Score]],Table1[[#This Row],[VGChartz Score]:[User Score]],"&lt;&gt;#N/A")</f>
        <v>9.5</v>
      </c>
    </row>
    <row r="512" spans="1:16" hidden="1" x14ac:dyDescent="0.2">
      <c r="A512">
        <f t="shared" si="9"/>
        <v>511</v>
      </c>
      <c r="B512">
        <v>11</v>
      </c>
      <c r="C512" t="s">
        <v>138</v>
      </c>
      <c r="D512" t="s">
        <v>548</v>
      </c>
      <c r="E512" t="s">
        <v>527</v>
      </c>
      <c r="F512" t="s">
        <v>244</v>
      </c>
      <c r="G512" t="e">
        <v>#N/A</v>
      </c>
      <c r="H512" t="e">
        <v>#N/A</v>
      </c>
      <c r="I512" t="e">
        <v>#N/A</v>
      </c>
      <c r="J512" s="1" t="e">
        <v>#N/A</v>
      </c>
      <c r="K512" s="1">
        <v>8.01</v>
      </c>
      <c r="L512" t="s">
        <v>549</v>
      </c>
      <c r="M512" t="s">
        <v>550</v>
      </c>
      <c r="N512">
        <f>2000+RIGHT(Table1[[#This Row],[Release Date]],2)</f>
        <v>2012</v>
      </c>
      <c r="O512">
        <f>_xlfn.MAXIFS(Table1[[#This Row],[Total Shipped]]:Table1[[#This Row],[Total Sales]],Table1[[#This Row],[Total Shipped]]:Table1[[#This Row],[Total Sales]],"&lt;&gt;#N/A")</f>
        <v>8.01</v>
      </c>
      <c r="P512">
        <f>_xlfn.MAXIFS(Table1[[#This Row],[VGChartz Score]:[User Score]],Table1[[#This Row],[VGChartz Score]:[User Score]],"&lt;&gt;#N/A")</f>
        <v>0</v>
      </c>
    </row>
    <row r="513" spans="1:16" hidden="1" x14ac:dyDescent="0.2">
      <c r="A513">
        <f t="shared" si="9"/>
        <v>512</v>
      </c>
      <c r="B513">
        <v>12</v>
      </c>
      <c r="C513" t="s">
        <v>138</v>
      </c>
      <c r="D513" t="s">
        <v>551</v>
      </c>
      <c r="E513" t="s">
        <v>527</v>
      </c>
      <c r="F513" t="s">
        <v>307</v>
      </c>
      <c r="G513">
        <v>9.4</v>
      </c>
      <c r="H513">
        <v>9.1999999999999993</v>
      </c>
      <c r="I513">
        <v>9.4</v>
      </c>
      <c r="J513" s="2">
        <v>7.6</v>
      </c>
      <c r="K513" s="2" t="e">
        <v>#N/A</v>
      </c>
      <c r="L513" t="s">
        <v>552</v>
      </c>
      <c r="M513" t="e">
        <v>#N/A</v>
      </c>
      <c r="N513">
        <f>2000+RIGHT(Table1[[#This Row],[Release Date]],2)</f>
        <v>2010</v>
      </c>
      <c r="O513">
        <f>_xlfn.MAXIFS(Table1[[#This Row],[Total Shipped]]:Table1[[#This Row],[Total Sales]],Table1[[#This Row],[Total Shipped]]:Table1[[#This Row],[Total Sales]],"&lt;&gt;#N/A")</f>
        <v>7.6</v>
      </c>
      <c r="P513">
        <f>_xlfn.MAXIFS(Table1[[#This Row],[VGChartz Score]:[User Score]],Table1[[#This Row],[VGChartz Score]:[User Score]],"&lt;&gt;#N/A")</f>
        <v>9.4</v>
      </c>
    </row>
    <row r="514" spans="1:16" hidden="1" x14ac:dyDescent="0.2">
      <c r="A514">
        <f t="shared" si="9"/>
        <v>513</v>
      </c>
      <c r="B514">
        <v>13</v>
      </c>
      <c r="C514" t="s">
        <v>138</v>
      </c>
      <c r="D514" t="s">
        <v>553</v>
      </c>
      <c r="E514" t="s">
        <v>527</v>
      </c>
      <c r="F514" t="s">
        <v>324</v>
      </c>
      <c r="G514" t="e">
        <v>#N/A</v>
      </c>
      <c r="H514">
        <v>8.5</v>
      </c>
      <c r="I514" t="e">
        <v>#N/A</v>
      </c>
      <c r="J514" s="1" t="e">
        <v>#N/A</v>
      </c>
      <c r="K514" s="1">
        <v>7.21</v>
      </c>
      <c r="L514" t="s">
        <v>554</v>
      </c>
      <c r="M514" t="e">
        <v>#N/A</v>
      </c>
      <c r="N514">
        <f>2000+RIGHT(Table1[[#This Row],[Release Date]],2)</f>
        <v>2011</v>
      </c>
      <c r="O514">
        <f>_xlfn.MAXIFS(Table1[[#This Row],[Total Shipped]]:Table1[[#This Row],[Total Sales]],Table1[[#This Row],[Total Shipped]]:Table1[[#This Row],[Total Sales]],"&lt;&gt;#N/A")</f>
        <v>7.21</v>
      </c>
      <c r="P514">
        <f>_xlfn.MAXIFS(Table1[[#This Row],[VGChartz Score]:[User Score]],Table1[[#This Row],[VGChartz Score]:[User Score]],"&lt;&gt;#N/A")</f>
        <v>8.5</v>
      </c>
    </row>
    <row r="515" spans="1:16" hidden="1" x14ac:dyDescent="0.2">
      <c r="A515">
        <f t="shared" si="9"/>
        <v>514</v>
      </c>
      <c r="B515">
        <v>14</v>
      </c>
      <c r="C515" t="s">
        <v>138</v>
      </c>
      <c r="D515" t="s">
        <v>555</v>
      </c>
      <c r="E515" t="s">
        <v>527</v>
      </c>
      <c r="F515" t="s">
        <v>307</v>
      </c>
      <c r="G515">
        <v>9.1999999999999993</v>
      </c>
      <c r="H515">
        <v>9.5</v>
      </c>
      <c r="I515">
        <v>9.6</v>
      </c>
      <c r="J515" s="2" t="e">
        <v>#N/A</v>
      </c>
      <c r="K515" s="2">
        <v>6.74</v>
      </c>
      <c r="L515" t="s">
        <v>556</v>
      </c>
      <c r="M515" t="e">
        <v>#N/A</v>
      </c>
      <c r="N515">
        <f>2000+RIGHT(Table1[[#This Row],[Release Date]],2)</f>
        <v>2009</v>
      </c>
      <c r="O515">
        <f>_xlfn.MAXIFS(Table1[[#This Row],[Total Shipped]]:Table1[[#This Row],[Total Sales]],Table1[[#This Row],[Total Shipped]]:Table1[[#This Row],[Total Sales]],"&lt;&gt;#N/A")</f>
        <v>6.74</v>
      </c>
      <c r="P515">
        <f>_xlfn.MAXIFS(Table1[[#This Row],[VGChartz Score]:[User Score]],Table1[[#This Row],[VGChartz Score]:[User Score]],"&lt;&gt;#N/A")</f>
        <v>9.6</v>
      </c>
    </row>
    <row r="516" spans="1:16" hidden="1" x14ac:dyDescent="0.2">
      <c r="A516">
        <f t="shared" si="9"/>
        <v>515</v>
      </c>
      <c r="B516">
        <v>15</v>
      </c>
      <c r="C516" t="s">
        <v>138</v>
      </c>
      <c r="D516" t="s">
        <v>557</v>
      </c>
      <c r="E516" t="s">
        <v>527</v>
      </c>
      <c r="F516" t="s">
        <v>233</v>
      </c>
      <c r="G516" t="e">
        <v>#N/A</v>
      </c>
      <c r="H516">
        <v>9.5</v>
      </c>
      <c r="I516">
        <v>9.6</v>
      </c>
      <c r="J516" s="1" t="e">
        <v>#N/A</v>
      </c>
      <c r="K516" s="1">
        <v>6.72</v>
      </c>
      <c r="L516" t="s">
        <v>558</v>
      </c>
      <c r="M516" t="e">
        <v>#N/A</v>
      </c>
      <c r="N516">
        <f>2000+RIGHT(Table1[[#This Row],[Release Date]],2)</f>
        <v>2007</v>
      </c>
      <c r="O516">
        <f>_xlfn.MAXIFS(Table1[[#This Row],[Total Shipped]]:Table1[[#This Row],[Total Sales]],Table1[[#This Row],[Total Shipped]]:Table1[[#This Row],[Total Sales]],"&lt;&gt;#N/A")</f>
        <v>6.72</v>
      </c>
      <c r="P516">
        <f>_xlfn.MAXIFS(Table1[[#This Row],[VGChartz Score]:[User Score]],Table1[[#This Row],[VGChartz Score]:[User Score]],"&lt;&gt;#N/A")</f>
        <v>9.6</v>
      </c>
    </row>
    <row r="517" spans="1:16" hidden="1" x14ac:dyDescent="0.2">
      <c r="A517">
        <f t="shared" si="9"/>
        <v>516</v>
      </c>
      <c r="B517">
        <v>16</v>
      </c>
      <c r="C517" t="s">
        <v>138</v>
      </c>
      <c r="D517" t="s">
        <v>559</v>
      </c>
      <c r="E517" t="s">
        <v>527</v>
      </c>
      <c r="F517" t="s">
        <v>244</v>
      </c>
      <c r="G517" t="e">
        <v>#N/A</v>
      </c>
      <c r="H517">
        <v>9.1999999999999993</v>
      </c>
      <c r="I517" t="e">
        <v>#N/A</v>
      </c>
      <c r="J517" s="2" t="e">
        <v>#N/A</v>
      </c>
      <c r="K517" s="2">
        <v>6.65</v>
      </c>
      <c r="L517" t="s">
        <v>560</v>
      </c>
      <c r="M517" t="e">
        <v>#N/A</v>
      </c>
      <c r="N517">
        <f>2000+RIGHT(Table1[[#This Row],[Release Date]],2)</f>
        <v>2011</v>
      </c>
      <c r="O517">
        <f>_xlfn.MAXIFS(Table1[[#This Row],[Total Shipped]]:Table1[[#This Row],[Total Sales]],Table1[[#This Row],[Total Shipped]]:Table1[[#This Row],[Total Sales]],"&lt;&gt;#N/A")</f>
        <v>6.65</v>
      </c>
      <c r="P517">
        <f>_xlfn.MAXIFS(Table1[[#This Row],[VGChartz Score]:[User Score]],Table1[[#This Row],[VGChartz Score]:[User Score]],"&lt;&gt;#N/A")</f>
        <v>9.1999999999999993</v>
      </c>
    </row>
    <row r="518" spans="1:16" hidden="1" x14ac:dyDescent="0.2">
      <c r="A518">
        <f t="shared" si="9"/>
        <v>517</v>
      </c>
      <c r="B518">
        <v>17</v>
      </c>
      <c r="C518" t="s">
        <v>138</v>
      </c>
      <c r="D518" t="s">
        <v>454</v>
      </c>
      <c r="E518" t="s">
        <v>527</v>
      </c>
      <c r="F518" t="s">
        <v>244</v>
      </c>
      <c r="G518" t="e">
        <v>#N/A</v>
      </c>
      <c r="H518" t="e">
        <v>#N/A</v>
      </c>
      <c r="I518" t="e">
        <v>#N/A</v>
      </c>
      <c r="J518" s="1" t="e">
        <v>#N/A</v>
      </c>
      <c r="K518" s="1">
        <v>6.61</v>
      </c>
      <c r="L518" t="s">
        <v>561</v>
      </c>
      <c r="M518" t="s">
        <v>455</v>
      </c>
      <c r="N518">
        <f>2000+RIGHT(Table1[[#This Row],[Release Date]],2)</f>
        <v>2013</v>
      </c>
      <c r="O518">
        <f>_xlfn.MAXIFS(Table1[[#This Row],[Total Shipped]]:Table1[[#This Row],[Total Sales]],Table1[[#This Row],[Total Shipped]]:Table1[[#This Row],[Total Sales]],"&lt;&gt;#N/A")</f>
        <v>6.61</v>
      </c>
      <c r="P518">
        <f>_xlfn.MAXIFS(Table1[[#This Row],[VGChartz Score]:[User Score]],Table1[[#This Row],[VGChartz Score]:[User Score]],"&lt;&gt;#N/A")</f>
        <v>0</v>
      </c>
    </row>
    <row r="519" spans="1:16" hidden="1" x14ac:dyDescent="0.2">
      <c r="A519">
        <f t="shared" si="9"/>
        <v>518</v>
      </c>
      <c r="B519">
        <v>18</v>
      </c>
      <c r="C519" t="s">
        <v>138</v>
      </c>
      <c r="D519" t="s">
        <v>562</v>
      </c>
      <c r="E519" t="s">
        <v>527</v>
      </c>
      <c r="F519" t="s">
        <v>297</v>
      </c>
      <c r="G519">
        <v>9.1</v>
      </c>
      <c r="H519">
        <v>9.5</v>
      </c>
      <c r="I519" t="e">
        <v>#N/A</v>
      </c>
      <c r="J519" s="2" t="e">
        <v>#N/A</v>
      </c>
      <c r="K519" s="2">
        <v>6.57</v>
      </c>
      <c r="L519" t="s">
        <v>563</v>
      </c>
      <c r="M519" t="e">
        <v>#N/A</v>
      </c>
      <c r="N519">
        <f>2000+RIGHT(Table1[[#This Row],[Release Date]],2)</f>
        <v>2011</v>
      </c>
      <c r="O519">
        <f>_xlfn.MAXIFS(Table1[[#This Row],[Total Shipped]]:Table1[[#This Row],[Total Sales]],Table1[[#This Row],[Total Shipped]]:Table1[[#This Row],[Total Sales]],"&lt;&gt;#N/A")</f>
        <v>6.57</v>
      </c>
      <c r="P519">
        <f>_xlfn.MAXIFS(Table1[[#This Row],[VGChartz Score]:[User Score]],Table1[[#This Row],[VGChartz Score]:[User Score]],"&lt;&gt;#N/A")</f>
        <v>9.5</v>
      </c>
    </row>
    <row r="520" spans="1:16" hidden="1" x14ac:dyDescent="0.2">
      <c r="A520">
        <f t="shared" si="9"/>
        <v>519</v>
      </c>
      <c r="B520">
        <v>19</v>
      </c>
      <c r="C520" t="s">
        <v>138</v>
      </c>
      <c r="D520" t="s">
        <v>564</v>
      </c>
      <c r="E520" t="s">
        <v>527</v>
      </c>
      <c r="F520" t="s">
        <v>151</v>
      </c>
      <c r="G520">
        <v>9.1999999999999993</v>
      </c>
      <c r="H520">
        <v>8.8000000000000007</v>
      </c>
      <c r="I520" t="e">
        <v>#N/A</v>
      </c>
      <c r="J520" s="1" t="e">
        <v>#N/A</v>
      </c>
      <c r="K520" s="1">
        <v>6.5</v>
      </c>
      <c r="L520" t="s">
        <v>565</v>
      </c>
      <c r="M520" t="s">
        <v>566</v>
      </c>
      <c r="N520">
        <f>2000+RIGHT(Table1[[#This Row],[Release Date]],2)</f>
        <v>2012</v>
      </c>
      <c r="O520">
        <f>_xlfn.MAXIFS(Table1[[#This Row],[Total Shipped]]:Table1[[#This Row],[Total Sales]],Table1[[#This Row],[Total Shipped]]:Table1[[#This Row],[Total Sales]],"&lt;&gt;#N/A")</f>
        <v>6.5</v>
      </c>
      <c r="P520">
        <f>_xlfn.MAXIFS(Table1[[#This Row],[VGChartz Score]:[User Score]],Table1[[#This Row],[VGChartz Score]:[User Score]],"&lt;&gt;#N/A")</f>
        <v>9.1999999999999993</v>
      </c>
    </row>
    <row r="521" spans="1:16" hidden="1" x14ac:dyDescent="0.2">
      <c r="A521">
        <f t="shared" si="9"/>
        <v>520</v>
      </c>
      <c r="B521">
        <v>20</v>
      </c>
      <c r="C521" t="s">
        <v>138</v>
      </c>
      <c r="D521" t="s">
        <v>221</v>
      </c>
      <c r="E521" t="s">
        <v>527</v>
      </c>
      <c r="F521" t="s">
        <v>222</v>
      </c>
      <c r="G521" t="e">
        <v>#N/A</v>
      </c>
      <c r="H521">
        <v>9</v>
      </c>
      <c r="I521" t="e">
        <v>#N/A</v>
      </c>
      <c r="J521" s="2" t="e">
        <v>#N/A</v>
      </c>
      <c r="K521" s="2">
        <v>6.49</v>
      </c>
      <c r="L521" t="s">
        <v>567</v>
      </c>
      <c r="M521" t="s">
        <v>343</v>
      </c>
      <c r="N521">
        <f>2000+RIGHT(Table1[[#This Row],[Release Date]],2)</f>
        <v>2011</v>
      </c>
      <c r="O521">
        <f>_xlfn.MAXIFS(Table1[[#This Row],[Total Shipped]]:Table1[[#This Row],[Total Sales]],Table1[[#This Row],[Total Shipped]]:Table1[[#This Row],[Total Sales]],"&lt;&gt;#N/A")</f>
        <v>6.49</v>
      </c>
      <c r="P521">
        <f>_xlfn.MAXIFS(Table1[[#This Row],[VGChartz Score]:[User Score]],Table1[[#This Row],[VGChartz Score]:[User Score]],"&lt;&gt;#N/A")</f>
        <v>9</v>
      </c>
    </row>
    <row r="522" spans="1:16" hidden="1" x14ac:dyDescent="0.2">
      <c r="A522">
        <f t="shared" si="9"/>
        <v>521</v>
      </c>
      <c r="B522">
        <v>21</v>
      </c>
      <c r="C522" t="s">
        <v>138</v>
      </c>
      <c r="D522" t="s">
        <v>163</v>
      </c>
      <c r="E522" t="s">
        <v>527</v>
      </c>
      <c r="F522" t="s">
        <v>546</v>
      </c>
      <c r="G522" t="e">
        <v>#N/A</v>
      </c>
      <c r="H522" t="e">
        <v>#N/A</v>
      </c>
      <c r="I522" t="e">
        <v>#N/A</v>
      </c>
      <c r="J522" s="1" t="e">
        <v>#N/A</v>
      </c>
      <c r="K522" s="1">
        <v>6.05</v>
      </c>
      <c r="L522" t="s">
        <v>568</v>
      </c>
      <c r="M522" t="s">
        <v>569</v>
      </c>
      <c r="N522">
        <f>2000+RIGHT(Table1[[#This Row],[Release Date]],2)</f>
        <v>2014</v>
      </c>
      <c r="O522">
        <f>_xlfn.MAXIFS(Table1[[#This Row],[Total Shipped]]:Table1[[#This Row],[Total Sales]],Table1[[#This Row],[Total Shipped]]:Table1[[#This Row],[Total Sales]],"&lt;&gt;#N/A")</f>
        <v>6.05</v>
      </c>
      <c r="P522">
        <f>_xlfn.MAXIFS(Table1[[#This Row],[VGChartz Score]:[User Score]],Table1[[#This Row],[VGChartz Score]:[User Score]],"&lt;&gt;#N/A")</f>
        <v>0</v>
      </c>
    </row>
    <row r="523" spans="1:16" hidden="1" x14ac:dyDescent="0.2">
      <c r="A523">
        <f t="shared" ref="A523:A558" si="10">ROW()-1</f>
        <v>522</v>
      </c>
      <c r="B523">
        <v>22</v>
      </c>
      <c r="C523" t="s">
        <v>138</v>
      </c>
      <c r="D523" t="s">
        <v>570</v>
      </c>
      <c r="E523" t="s">
        <v>527</v>
      </c>
      <c r="F523" t="s">
        <v>103</v>
      </c>
      <c r="G523">
        <v>9.5</v>
      </c>
      <c r="H523">
        <v>9.3000000000000007</v>
      </c>
      <c r="I523">
        <v>9.8000000000000007</v>
      </c>
      <c r="J523" s="2">
        <v>6</v>
      </c>
      <c r="K523" s="2" t="e">
        <v>#N/A</v>
      </c>
      <c r="L523" t="s">
        <v>571</v>
      </c>
      <c r="M523" t="s">
        <v>572</v>
      </c>
      <c r="N523">
        <f>2000+RIGHT(Table1[[#This Row],[Release Date]],2)</f>
        <v>2008</v>
      </c>
      <c r="O523">
        <f>_xlfn.MAXIFS(Table1[[#This Row],[Total Shipped]]:Table1[[#This Row],[Total Sales]],Table1[[#This Row],[Total Shipped]]:Table1[[#This Row],[Total Sales]],"&lt;&gt;#N/A")</f>
        <v>6</v>
      </c>
      <c r="P523">
        <f>_xlfn.MAXIFS(Table1[[#This Row],[VGChartz Score]:[User Score]],Table1[[#This Row],[VGChartz Score]:[User Score]],"&lt;&gt;#N/A")</f>
        <v>9.8000000000000007</v>
      </c>
    </row>
    <row r="524" spans="1:16" hidden="1" x14ac:dyDescent="0.2">
      <c r="A524">
        <f t="shared" si="10"/>
        <v>523</v>
      </c>
      <c r="B524">
        <v>23</v>
      </c>
      <c r="C524" t="s">
        <v>138</v>
      </c>
      <c r="D524" t="s">
        <v>573</v>
      </c>
      <c r="E524" t="s">
        <v>527</v>
      </c>
      <c r="F524" t="s">
        <v>151</v>
      </c>
      <c r="G524">
        <v>9</v>
      </c>
      <c r="H524">
        <v>9</v>
      </c>
      <c r="I524" t="e">
        <v>#N/A</v>
      </c>
      <c r="J524" s="1" t="e">
        <v>#N/A</v>
      </c>
      <c r="K524" s="1">
        <v>5.57</v>
      </c>
      <c r="L524" t="s">
        <v>574</v>
      </c>
      <c r="M524" t="s">
        <v>299</v>
      </c>
      <c r="N524">
        <f>2000+RIGHT(Table1[[#This Row],[Release Date]],2)</f>
        <v>2009</v>
      </c>
      <c r="O524">
        <f>_xlfn.MAXIFS(Table1[[#This Row],[Total Shipped]]:Table1[[#This Row],[Total Sales]],Table1[[#This Row],[Total Shipped]]:Table1[[#This Row],[Total Sales]],"&lt;&gt;#N/A")</f>
        <v>5.57</v>
      </c>
      <c r="P524">
        <f>_xlfn.MAXIFS(Table1[[#This Row],[VGChartz Score]:[User Score]],Table1[[#This Row],[VGChartz Score]:[User Score]],"&lt;&gt;#N/A")</f>
        <v>9</v>
      </c>
    </row>
    <row r="525" spans="1:16" hidden="1" x14ac:dyDescent="0.2">
      <c r="A525">
        <f t="shared" si="10"/>
        <v>524</v>
      </c>
      <c r="B525">
        <v>24</v>
      </c>
      <c r="C525" t="s">
        <v>138</v>
      </c>
      <c r="D525" t="s">
        <v>575</v>
      </c>
      <c r="E525" t="s">
        <v>527</v>
      </c>
      <c r="F525" t="s">
        <v>420</v>
      </c>
      <c r="G525">
        <v>9.5</v>
      </c>
      <c r="H525">
        <v>9.6</v>
      </c>
      <c r="I525" t="e">
        <v>#N/A</v>
      </c>
      <c r="J525" s="2" t="e">
        <v>#N/A</v>
      </c>
      <c r="K525" s="2">
        <v>5.54</v>
      </c>
      <c r="L525" t="s">
        <v>576</v>
      </c>
      <c r="M525" t="e">
        <v>#N/A</v>
      </c>
      <c r="N525">
        <f>2000+RIGHT(Table1[[#This Row],[Release Date]],2)</f>
        <v>2011</v>
      </c>
      <c r="O525">
        <f>_xlfn.MAXIFS(Table1[[#This Row],[Total Shipped]]:Table1[[#This Row],[Total Sales]],Table1[[#This Row],[Total Shipped]]:Table1[[#This Row],[Total Sales]],"&lt;&gt;#N/A")</f>
        <v>5.54</v>
      </c>
      <c r="P525">
        <f>_xlfn.MAXIFS(Table1[[#This Row],[VGChartz Score]:[User Score]],Table1[[#This Row],[VGChartz Score]:[User Score]],"&lt;&gt;#N/A")</f>
        <v>9.6</v>
      </c>
    </row>
    <row r="526" spans="1:16" hidden="1" x14ac:dyDescent="0.2">
      <c r="A526">
        <f t="shared" si="10"/>
        <v>525</v>
      </c>
      <c r="B526">
        <v>25</v>
      </c>
      <c r="C526" t="s">
        <v>138</v>
      </c>
      <c r="D526" t="s">
        <v>577</v>
      </c>
      <c r="E526" t="s">
        <v>527</v>
      </c>
      <c r="F526" t="s">
        <v>233</v>
      </c>
      <c r="G526">
        <v>8.8000000000000007</v>
      </c>
      <c r="H526">
        <v>8.4</v>
      </c>
      <c r="I526" t="e">
        <v>#N/A</v>
      </c>
      <c r="J526" s="1" t="e">
        <v>#N/A</v>
      </c>
      <c r="K526" s="1">
        <v>5.43</v>
      </c>
      <c r="L526" t="s">
        <v>578</v>
      </c>
      <c r="M526" t="e">
        <v>#N/A</v>
      </c>
      <c r="N526">
        <f>2000+RIGHT(Table1[[#This Row],[Release Date]],2)</f>
        <v>2008</v>
      </c>
      <c r="O526">
        <f>_xlfn.MAXIFS(Table1[[#This Row],[Total Shipped]]:Table1[[#This Row],[Total Sales]],Table1[[#This Row],[Total Shipped]]:Table1[[#This Row],[Total Sales]],"&lt;&gt;#N/A")</f>
        <v>5.43</v>
      </c>
      <c r="P526">
        <f>_xlfn.MAXIFS(Table1[[#This Row],[VGChartz Score]:[User Score]],Table1[[#This Row],[VGChartz Score]:[User Score]],"&lt;&gt;#N/A")</f>
        <v>8.8000000000000007</v>
      </c>
    </row>
    <row r="527" spans="1:16" hidden="1" x14ac:dyDescent="0.2">
      <c r="A527">
        <f t="shared" si="10"/>
        <v>526</v>
      </c>
      <c r="B527">
        <v>26</v>
      </c>
      <c r="C527" t="s">
        <v>138</v>
      </c>
      <c r="D527" t="s">
        <v>579</v>
      </c>
      <c r="E527" t="s">
        <v>527</v>
      </c>
      <c r="F527" t="s">
        <v>254</v>
      </c>
      <c r="G527">
        <v>9</v>
      </c>
      <c r="H527">
        <v>8</v>
      </c>
      <c r="I527">
        <v>9.1999999999999993</v>
      </c>
      <c r="J527" s="2" t="e">
        <v>#N/A</v>
      </c>
      <c r="K527" s="2">
        <v>5.35</v>
      </c>
      <c r="L527" t="s">
        <v>580</v>
      </c>
      <c r="M527" t="e">
        <v>#N/A</v>
      </c>
      <c r="N527">
        <f>2000+RIGHT(Table1[[#This Row],[Release Date]],2)</f>
        <v>2010</v>
      </c>
      <c r="O527">
        <f>_xlfn.MAXIFS(Table1[[#This Row],[Total Shipped]]:Table1[[#This Row],[Total Sales]],Table1[[#This Row],[Total Shipped]]:Table1[[#This Row],[Total Sales]],"&lt;&gt;#N/A")</f>
        <v>5.35</v>
      </c>
      <c r="P527">
        <f>_xlfn.MAXIFS(Table1[[#This Row],[VGChartz Score]:[User Score]],Table1[[#This Row],[VGChartz Score]:[User Score]],"&lt;&gt;#N/A")</f>
        <v>9.1999999999999993</v>
      </c>
    </row>
    <row r="528" spans="1:16" hidden="1" x14ac:dyDescent="0.2">
      <c r="A528">
        <f t="shared" si="10"/>
        <v>527</v>
      </c>
      <c r="B528">
        <v>27</v>
      </c>
      <c r="C528" t="s">
        <v>138</v>
      </c>
      <c r="D528" t="s">
        <v>581</v>
      </c>
      <c r="E528" t="s">
        <v>527</v>
      </c>
      <c r="F528" t="s">
        <v>307</v>
      </c>
      <c r="G528">
        <v>8.4</v>
      </c>
      <c r="H528">
        <v>8.3000000000000007</v>
      </c>
      <c r="I528" t="e">
        <v>#N/A</v>
      </c>
      <c r="J528" s="1">
        <v>5.35</v>
      </c>
      <c r="K528" s="1" t="e">
        <v>#N/A</v>
      </c>
      <c r="L528" t="s">
        <v>582</v>
      </c>
      <c r="M528" t="e">
        <v>#N/A</v>
      </c>
      <c r="N528">
        <f>2000+RIGHT(Table1[[#This Row],[Release Date]],2)</f>
        <v>2008</v>
      </c>
      <c r="O528">
        <f>_xlfn.MAXIFS(Table1[[#This Row],[Total Shipped]]:Table1[[#This Row],[Total Sales]],Table1[[#This Row],[Total Shipped]]:Table1[[#This Row],[Total Sales]],"&lt;&gt;#N/A")</f>
        <v>5.35</v>
      </c>
      <c r="P528">
        <f>_xlfn.MAXIFS(Table1[[#This Row],[VGChartz Score]:[User Score]],Table1[[#This Row],[VGChartz Score]:[User Score]],"&lt;&gt;#N/A")</f>
        <v>8.4</v>
      </c>
    </row>
    <row r="529" spans="1:16" hidden="1" x14ac:dyDescent="0.2">
      <c r="A529">
        <f t="shared" si="10"/>
        <v>528</v>
      </c>
      <c r="B529">
        <v>28</v>
      </c>
      <c r="C529" t="s">
        <v>138</v>
      </c>
      <c r="D529" t="s">
        <v>583</v>
      </c>
      <c r="E529" t="s">
        <v>527</v>
      </c>
      <c r="F529" t="s">
        <v>546</v>
      </c>
      <c r="G529" t="e">
        <v>#N/A</v>
      </c>
      <c r="H529">
        <v>8.6</v>
      </c>
      <c r="I529" t="e">
        <v>#N/A</v>
      </c>
      <c r="J529" s="2">
        <v>5.22</v>
      </c>
      <c r="K529" s="2" t="e">
        <v>#N/A</v>
      </c>
      <c r="L529" t="s">
        <v>584</v>
      </c>
      <c r="M529" t="s">
        <v>585</v>
      </c>
      <c r="N529">
        <f>2000+RIGHT(Table1[[#This Row],[Release Date]],2)</f>
        <v>2013</v>
      </c>
      <c r="O529">
        <f>_xlfn.MAXIFS(Table1[[#This Row],[Total Shipped]]:Table1[[#This Row],[Total Sales]],Table1[[#This Row],[Total Shipped]]:Table1[[#This Row],[Total Sales]],"&lt;&gt;#N/A")</f>
        <v>5.22</v>
      </c>
      <c r="P529">
        <f>_xlfn.MAXIFS(Table1[[#This Row],[VGChartz Score]:[User Score]],Table1[[#This Row],[VGChartz Score]:[User Score]],"&lt;&gt;#N/A")</f>
        <v>8.6</v>
      </c>
    </row>
    <row r="530" spans="1:16" hidden="1" x14ac:dyDescent="0.2">
      <c r="A530">
        <f t="shared" si="10"/>
        <v>529</v>
      </c>
      <c r="B530">
        <v>29</v>
      </c>
      <c r="C530" t="s">
        <v>138</v>
      </c>
      <c r="D530" t="s">
        <v>586</v>
      </c>
      <c r="E530" t="s">
        <v>527</v>
      </c>
      <c r="F530" t="s">
        <v>69</v>
      </c>
      <c r="G530">
        <v>8.4</v>
      </c>
      <c r="H530">
        <v>8.6</v>
      </c>
      <c r="I530">
        <v>8.8000000000000007</v>
      </c>
      <c r="J530" s="1" t="e">
        <v>#N/A</v>
      </c>
      <c r="K530" s="1">
        <v>5.0999999999999996</v>
      </c>
      <c r="L530" t="s">
        <v>587</v>
      </c>
      <c r="M530" t="e">
        <v>#N/A</v>
      </c>
      <c r="N530">
        <f>2000+RIGHT(Table1[[#This Row],[Release Date]],2)</f>
        <v>2009</v>
      </c>
      <c r="O530">
        <f>_xlfn.MAXIFS(Table1[[#This Row],[Total Shipped]]:Table1[[#This Row],[Total Sales]],Table1[[#This Row],[Total Shipped]]:Table1[[#This Row],[Total Sales]],"&lt;&gt;#N/A")</f>
        <v>5.0999999999999996</v>
      </c>
      <c r="P530">
        <f>_xlfn.MAXIFS(Table1[[#This Row],[VGChartz Score]:[User Score]],Table1[[#This Row],[VGChartz Score]:[User Score]],"&lt;&gt;#N/A")</f>
        <v>8.8000000000000007</v>
      </c>
    </row>
    <row r="531" spans="1:16" hidden="1" x14ac:dyDescent="0.2">
      <c r="A531">
        <f t="shared" si="10"/>
        <v>530</v>
      </c>
      <c r="B531">
        <v>30</v>
      </c>
      <c r="C531" t="s">
        <v>138</v>
      </c>
      <c r="D531" t="s">
        <v>588</v>
      </c>
      <c r="E531" t="s">
        <v>527</v>
      </c>
      <c r="F531" t="s">
        <v>244</v>
      </c>
      <c r="G531">
        <v>8.6</v>
      </c>
      <c r="H531">
        <v>8.6999999999999993</v>
      </c>
      <c r="I531" t="e">
        <v>#N/A</v>
      </c>
      <c r="J531" s="2" t="e">
        <v>#N/A</v>
      </c>
      <c r="K531" s="2">
        <v>5.08</v>
      </c>
      <c r="L531" t="s">
        <v>589</v>
      </c>
      <c r="M531" t="e">
        <v>#N/A</v>
      </c>
      <c r="N531">
        <f>2000+RIGHT(Table1[[#This Row],[Release Date]],2)</f>
        <v>2010</v>
      </c>
      <c r="O531">
        <f>_xlfn.MAXIFS(Table1[[#This Row],[Total Shipped]]:Table1[[#This Row],[Total Sales]],Table1[[#This Row],[Total Shipped]]:Table1[[#This Row],[Total Sales]],"&lt;&gt;#N/A")</f>
        <v>5.08</v>
      </c>
      <c r="P531">
        <f>_xlfn.MAXIFS(Table1[[#This Row],[VGChartz Score]:[User Score]],Table1[[#This Row],[VGChartz Score]:[User Score]],"&lt;&gt;#N/A")</f>
        <v>8.6999999999999993</v>
      </c>
    </row>
    <row r="532" spans="1:16" hidden="1" x14ac:dyDescent="0.2">
      <c r="A532">
        <f t="shared" si="10"/>
        <v>531</v>
      </c>
      <c r="B532">
        <v>31</v>
      </c>
      <c r="C532" t="s">
        <v>138</v>
      </c>
      <c r="D532" t="s">
        <v>590</v>
      </c>
      <c r="E532" t="s">
        <v>527</v>
      </c>
      <c r="F532" t="s">
        <v>307</v>
      </c>
      <c r="G532">
        <v>8.6999999999999993</v>
      </c>
      <c r="H532">
        <v>8.6999999999999993</v>
      </c>
      <c r="I532">
        <v>8.6</v>
      </c>
      <c r="J532" s="1" t="e">
        <v>#N/A</v>
      </c>
      <c r="K532" s="1">
        <v>4.97</v>
      </c>
      <c r="L532" t="s">
        <v>591</v>
      </c>
      <c r="M532" t="e">
        <v>#N/A</v>
      </c>
      <c r="N532">
        <f>2000+RIGHT(Table1[[#This Row],[Release Date]],2)</f>
        <v>2007</v>
      </c>
      <c r="O532">
        <f>_xlfn.MAXIFS(Table1[[#This Row],[Total Shipped]]:Table1[[#This Row],[Total Sales]],Table1[[#This Row],[Total Shipped]]:Table1[[#This Row],[Total Sales]],"&lt;&gt;#N/A")</f>
        <v>4.97</v>
      </c>
      <c r="P532">
        <f>_xlfn.MAXIFS(Table1[[#This Row],[VGChartz Score]:[User Score]],Table1[[#This Row],[VGChartz Score]:[User Score]],"&lt;&gt;#N/A")</f>
        <v>8.6999999999999993</v>
      </c>
    </row>
    <row r="533" spans="1:16" hidden="1" x14ac:dyDescent="0.2">
      <c r="A533">
        <f t="shared" si="10"/>
        <v>532</v>
      </c>
      <c r="B533">
        <v>32</v>
      </c>
      <c r="C533" t="s">
        <v>138</v>
      </c>
      <c r="D533" t="s">
        <v>592</v>
      </c>
      <c r="E533" t="s">
        <v>527</v>
      </c>
      <c r="F533" t="s">
        <v>151</v>
      </c>
      <c r="G533">
        <v>7.5</v>
      </c>
      <c r="H533">
        <v>8.1999999999999993</v>
      </c>
      <c r="I533">
        <v>8.5</v>
      </c>
      <c r="J533" s="2" t="e">
        <v>#N/A</v>
      </c>
      <c r="K533" s="2">
        <v>4.83</v>
      </c>
      <c r="L533" t="s">
        <v>593</v>
      </c>
      <c r="M533" t="e">
        <v>#N/A</v>
      </c>
      <c r="N533">
        <f>2000+RIGHT(Table1[[#This Row],[Release Date]],2)</f>
        <v>2007</v>
      </c>
      <c r="O533">
        <f>_xlfn.MAXIFS(Table1[[#This Row],[Total Shipped]]:Table1[[#This Row],[Total Sales]],Table1[[#This Row],[Total Shipped]]:Table1[[#This Row],[Total Sales]],"&lt;&gt;#N/A")</f>
        <v>4.83</v>
      </c>
      <c r="P533">
        <f>_xlfn.MAXIFS(Table1[[#This Row],[VGChartz Score]:[User Score]],Table1[[#This Row],[VGChartz Score]:[User Score]],"&lt;&gt;#N/A")</f>
        <v>8.5</v>
      </c>
    </row>
    <row r="534" spans="1:16" hidden="1" x14ac:dyDescent="0.2">
      <c r="A534">
        <f t="shared" si="10"/>
        <v>533</v>
      </c>
      <c r="B534">
        <v>33</v>
      </c>
      <c r="C534" t="s">
        <v>138</v>
      </c>
      <c r="D534" t="s">
        <v>364</v>
      </c>
      <c r="E534" t="s">
        <v>527</v>
      </c>
      <c r="F534" t="s">
        <v>244</v>
      </c>
      <c r="G534" t="e">
        <v>#N/A</v>
      </c>
      <c r="H534">
        <v>6.9</v>
      </c>
      <c r="I534" t="e">
        <v>#N/A</v>
      </c>
      <c r="J534" s="1" t="e">
        <v>#N/A</v>
      </c>
      <c r="K534" s="1">
        <v>4.5599999999999996</v>
      </c>
      <c r="L534" t="s">
        <v>365</v>
      </c>
      <c r="M534" t="s">
        <v>366</v>
      </c>
      <c r="N534">
        <f>2000+RIGHT(Table1[[#This Row],[Release Date]],2)</f>
        <v>2014</v>
      </c>
      <c r="O534">
        <f>_xlfn.MAXIFS(Table1[[#This Row],[Total Shipped]]:Table1[[#This Row],[Total Sales]],Table1[[#This Row],[Total Shipped]]:Table1[[#This Row],[Total Sales]],"&lt;&gt;#N/A")</f>
        <v>4.5599999999999996</v>
      </c>
      <c r="P534">
        <f>_xlfn.MAXIFS(Table1[[#This Row],[VGChartz Score]:[User Score]],Table1[[#This Row],[VGChartz Score]:[User Score]],"&lt;&gt;#N/A")</f>
        <v>6.9</v>
      </c>
    </row>
    <row r="535" spans="1:16" hidden="1" x14ac:dyDescent="0.2">
      <c r="A535">
        <f t="shared" si="10"/>
        <v>534</v>
      </c>
      <c r="B535">
        <v>34</v>
      </c>
      <c r="C535" t="s">
        <v>138</v>
      </c>
      <c r="D535" t="s">
        <v>594</v>
      </c>
      <c r="E535" t="s">
        <v>527</v>
      </c>
      <c r="F535" t="s">
        <v>307</v>
      </c>
      <c r="G535">
        <v>9.1999999999999993</v>
      </c>
      <c r="H535">
        <v>9.4</v>
      </c>
      <c r="I535">
        <v>9.1999999999999993</v>
      </c>
      <c r="J535" s="2">
        <v>4.5</v>
      </c>
      <c r="K535" s="2" t="e">
        <v>#N/A</v>
      </c>
      <c r="L535" t="s">
        <v>595</v>
      </c>
      <c r="M535" t="e">
        <v>#N/A</v>
      </c>
      <c r="N535">
        <f>2000+RIGHT(Table1[[#This Row],[Release Date]],2)</f>
        <v>2008</v>
      </c>
      <c r="O535">
        <f>_xlfn.MAXIFS(Table1[[#This Row],[Total Shipped]]:Table1[[#This Row],[Total Sales]],Table1[[#This Row],[Total Shipped]]:Table1[[#This Row],[Total Sales]],"&lt;&gt;#N/A")</f>
        <v>4.5</v>
      </c>
      <c r="P535">
        <f>_xlfn.MAXIFS(Table1[[#This Row],[VGChartz Score]:[User Score]],Table1[[#This Row],[VGChartz Score]:[User Score]],"&lt;&gt;#N/A")</f>
        <v>9.4</v>
      </c>
    </row>
    <row r="536" spans="1:16" hidden="1" x14ac:dyDescent="0.2">
      <c r="A536">
        <f t="shared" si="10"/>
        <v>535</v>
      </c>
      <c r="B536">
        <v>35</v>
      </c>
      <c r="C536" t="s">
        <v>138</v>
      </c>
      <c r="D536" t="s">
        <v>596</v>
      </c>
      <c r="E536" t="s">
        <v>527</v>
      </c>
      <c r="F536" t="s">
        <v>597</v>
      </c>
      <c r="G536">
        <v>9.1</v>
      </c>
      <c r="H536">
        <v>9</v>
      </c>
      <c r="I536" t="e">
        <v>#N/A</v>
      </c>
      <c r="J536" s="1" t="e">
        <v>#N/A</v>
      </c>
      <c r="K536" s="1">
        <v>4.28</v>
      </c>
      <c r="L536" t="s">
        <v>598</v>
      </c>
      <c r="M536" t="e">
        <v>#N/A</v>
      </c>
      <c r="N536">
        <f>2000+RIGHT(Table1[[#This Row],[Release Date]],2)</f>
        <v>2009</v>
      </c>
      <c r="O536">
        <f>_xlfn.MAXIFS(Table1[[#This Row],[Total Shipped]]:Table1[[#This Row],[Total Sales]],Table1[[#This Row],[Total Shipped]]:Table1[[#This Row],[Total Sales]],"&lt;&gt;#N/A")</f>
        <v>4.28</v>
      </c>
      <c r="P536">
        <f>_xlfn.MAXIFS(Table1[[#This Row],[VGChartz Score]:[User Score]],Table1[[#This Row],[VGChartz Score]:[User Score]],"&lt;&gt;#N/A")</f>
        <v>9.1</v>
      </c>
    </row>
    <row r="537" spans="1:16" hidden="1" x14ac:dyDescent="0.2">
      <c r="A537">
        <f t="shared" si="10"/>
        <v>536</v>
      </c>
      <c r="B537">
        <v>36</v>
      </c>
      <c r="C537" t="s">
        <v>138</v>
      </c>
      <c r="D537" t="s">
        <v>351</v>
      </c>
      <c r="E537" t="s">
        <v>527</v>
      </c>
      <c r="F537" t="s">
        <v>233</v>
      </c>
      <c r="G537" t="e">
        <v>#N/A</v>
      </c>
      <c r="H537">
        <v>9.1</v>
      </c>
      <c r="I537" t="e">
        <v>#N/A</v>
      </c>
      <c r="J537" s="2" t="e">
        <v>#N/A</v>
      </c>
      <c r="K537" s="2">
        <v>4.2699999999999996</v>
      </c>
      <c r="L537" t="s">
        <v>352</v>
      </c>
      <c r="M537" t="s">
        <v>353</v>
      </c>
      <c r="N537">
        <f>2000+RIGHT(Table1[[#This Row],[Release Date]],2)</f>
        <v>2014</v>
      </c>
      <c r="O537">
        <f>_xlfn.MAXIFS(Table1[[#This Row],[Total Shipped]]:Table1[[#This Row],[Total Sales]],Table1[[#This Row],[Total Shipped]]:Table1[[#This Row],[Total Sales]],"&lt;&gt;#N/A")</f>
        <v>4.2699999999999996</v>
      </c>
      <c r="P537">
        <f>_xlfn.MAXIFS(Table1[[#This Row],[VGChartz Score]:[User Score]],Table1[[#This Row],[VGChartz Score]:[User Score]],"&lt;&gt;#N/A")</f>
        <v>9.1</v>
      </c>
    </row>
    <row r="538" spans="1:16" hidden="1" x14ac:dyDescent="0.2">
      <c r="A538">
        <f t="shared" si="10"/>
        <v>537</v>
      </c>
      <c r="B538">
        <v>37</v>
      </c>
      <c r="C538" t="s">
        <v>138</v>
      </c>
      <c r="D538" t="s">
        <v>599</v>
      </c>
      <c r="E538" t="s">
        <v>527</v>
      </c>
      <c r="F538" t="s">
        <v>151</v>
      </c>
      <c r="G538">
        <v>7.1</v>
      </c>
      <c r="H538">
        <v>8.8000000000000007</v>
      </c>
      <c r="I538" t="e">
        <v>#N/A</v>
      </c>
      <c r="J538" s="1" t="e">
        <v>#N/A</v>
      </c>
      <c r="K538" s="1">
        <v>4.2300000000000004</v>
      </c>
      <c r="L538" t="s">
        <v>600</v>
      </c>
      <c r="M538" t="e">
        <v>#N/A</v>
      </c>
      <c r="N538">
        <f>2000+RIGHT(Table1[[#This Row],[Release Date]],2)</f>
        <v>2011</v>
      </c>
      <c r="O538">
        <f>_xlfn.MAXIFS(Table1[[#This Row],[Total Shipped]]:Table1[[#This Row],[Total Sales]],Table1[[#This Row],[Total Shipped]]:Table1[[#This Row],[Total Sales]],"&lt;&gt;#N/A")</f>
        <v>4.2300000000000004</v>
      </c>
      <c r="P538">
        <f>_xlfn.MAXIFS(Table1[[#This Row],[VGChartz Score]:[User Score]],Table1[[#This Row],[VGChartz Score]:[User Score]],"&lt;&gt;#N/A")</f>
        <v>8.8000000000000007</v>
      </c>
    </row>
    <row r="539" spans="1:16" hidden="1" x14ac:dyDescent="0.2">
      <c r="A539">
        <f t="shared" si="10"/>
        <v>538</v>
      </c>
      <c r="B539">
        <v>38</v>
      </c>
      <c r="C539" t="s">
        <v>138</v>
      </c>
      <c r="D539" t="s">
        <v>601</v>
      </c>
      <c r="E539" t="s">
        <v>527</v>
      </c>
      <c r="F539" t="s">
        <v>69</v>
      </c>
      <c r="G539">
        <v>9.1</v>
      </c>
      <c r="H539">
        <v>9.3000000000000007</v>
      </c>
      <c r="I539">
        <v>9</v>
      </c>
      <c r="J539" s="2" t="e">
        <v>#N/A</v>
      </c>
      <c r="K539" s="2">
        <v>4.1900000000000004</v>
      </c>
      <c r="L539" t="s">
        <v>602</v>
      </c>
      <c r="M539" t="e">
        <v>#N/A</v>
      </c>
      <c r="N539">
        <f>2000+RIGHT(Table1[[#This Row],[Release Date]],2)</f>
        <v>2009</v>
      </c>
      <c r="O539">
        <f>_xlfn.MAXIFS(Table1[[#This Row],[Total Shipped]]:Table1[[#This Row],[Total Sales]],Table1[[#This Row],[Total Shipped]]:Table1[[#This Row],[Total Sales]],"&lt;&gt;#N/A")</f>
        <v>4.1900000000000004</v>
      </c>
      <c r="P539">
        <f>_xlfn.MAXIFS(Table1[[#This Row],[VGChartz Score]:[User Score]],Table1[[#This Row],[VGChartz Score]:[User Score]],"&lt;&gt;#N/A")</f>
        <v>9.3000000000000007</v>
      </c>
    </row>
    <row r="540" spans="1:16" hidden="1" x14ac:dyDescent="0.2">
      <c r="A540">
        <f t="shared" si="10"/>
        <v>539</v>
      </c>
      <c r="B540">
        <v>39</v>
      </c>
      <c r="C540" t="s">
        <v>138</v>
      </c>
      <c r="D540" t="s">
        <v>603</v>
      </c>
      <c r="E540" t="s">
        <v>527</v>
      </c>
      <c r="F540" t="s">
        <v>222</v>
      </c>
      <c r="G540">
        <v>8.1999999999999993</v>
      </c>
      <c r="H540">
        <v>8.8000000000000007</v>
      </c>
      <c r="I540" t="e">
        <v>#N/A</v>
      </c>
      <c r="J540" s="1" t="e">
        <v>#N/A</v>
      </c>
      <c r="K540" s="1">
        <v>4</v>
      </c>
      <c r="L540" t="s">
        <v>595</v>
      </c>
      <c r="M540" t="e">
        <v>#N/A</v>
      </c>
      <c r="N540">
        <f>2000+RIGHT(Table1[[#This Row],[Release Date]],2)</f>
        <v>2008</v>
      </c>
      <c r="O540">
        <f>_xlfn.MAXIFS(Table1[[#This Row],[Total Shipped]]:Table1[[#This Row],[Total Sales]],Table1[[#This Row],[Total Shipped]]:Table1[[#This Row],[Total Sales]],"&lt;&gt;#N/A")</f>
        <v>4</v>
      </c>
      <c r="P540">
        <f>_xlfn.MAXIFS(Table1[[#This Row],[VGChartz Score]:[User Score]],Table1[[#This Row],[VGChartz Score]:[User Score]],"&lt;&gt;#N/A")</f>
        <v>8.8000000000000007</v>
      </c>
    </row>
    <row r="541" spans="1:16" hidden="1" x14ac:dyDescent="0.2">
      <c r="A541">
        <f t="shared" si="10"/>
        <v>540</v>
      </c>
      <c r="B541">
        <v>40</v>
      </c>
      <c r="C541" t="s">
        <v>138</v>
      </c>
      <c r="D541" t="s">
        <v>469</v>
      </c>
      <c r="E541" t="s">
        <v>527</v>
      </c>
      <c r="F541" t="s">
        <v>151</v>
      </c>
      <c r="G541">
        <v>9.1</v>
      </c>
      <c r="H541">
        <v>8.6999999999999993</v>
      </c>
      <c r="I541" t="e">
        <v>#N/A</v>
      </c>
      <c r="J541" s="2" t="e">
        <v>#N/A</v>
      </c>
      <c r="K541" s="2">
        <v>3.94</v>
      </c>
      <c r="L541" t="s">
        <v>604</v>
      </c>
      <c r="M541" t="s">
        <v>91</v>
      </c>
      <c r="N541">
        <f>2000+RIGHT(Table1[[#This Row],[Release Date]],2)</f>
        <v>2013</v>
      </c>
      <c r="O541">
        <f>_xlfn.MAXIFS(Table1[[#This Row],[Total Shipped]]:Table1[[#This Row],[Total Sales]],Table1[[#This Row],[Total Shipped]]:Table1[[#This Row],[Total Sales]],"&lt;&gt;#N/A")</f>
        <v>3.94</v>
      </c>
      <c r="P541">
        <f>_xlfn.MAXIFS(Table1[[#This Row],[VGChartz Score]:[User Score]],Table1[[#This Row],[VGChartz Score]:[User Score]],"&lt;&gt;#N/A")</f>
        <v>9.1</v>
      </c>
    </row>
    <row r="542" spans="1:16" hidden="1" x14ac:dyDescent="0.2">
      <c r="A542">
        <f t="shared" si="10"/>
        <v>541</v>
      </c>
      <c r="B542">
        <v>41</v>
      </c>
      <c r="C542" t="s">
        <v>138</v>
      </c>
      <c r="D542" t="s">
        <v>605</v>
      </c>
      <c r="E542" t="s">
        <v>527</v>
      </c>
      <c r="F542" t="s">
        <v>307</v>
      </c>
      <c r="G542">
        <v>8.5</v>
      </c>
      <c r="H542">
        <v>8.5</v>
      </c>
      <c r="I542">
        <v>9.1</v>
      </c>
      <c r="J542" s="1">
        <v>3.9</v>
      </c>
      <c r="K542" s="1" t="e">
        <v>#N/A</v>
      </c>
      <c r="L542" t="s">
        <v>606</v>
      </c>
      <c r="M542" t="e">
        <v>#N/A</v>
      </c>
      <c r="N542">
        <f>2000+RIGHT(Table1[[#This Row],[Release Date]],2)</f>
        <v>2006</v>
      </c>
      <c r="O542">
        <f>_xlfn.MAXIFS(Table1[[#This Row],[Total Shipped]]:Table1[[#This Row],[Total Sales]],Table1[[#This Row],[Total Shipped]]:Table1[[#This Row],[Total Sales]],"&lt;&gt;#N/A")</f>
        <v>3.9</v>
      </c>
      <c r="P542">
        <f>_xlfn.MAXIFS(Table1[[#This Row],[VGChartz Score]:[User Score]],Table1[[#This Row],[VGChartz Score]:[User Score]],"&lt;&gt;#N/A")</f>
        <v>9.1</v>
      </c>
    </row>
    <row r="543" spans="1:16" hidden="1" x14ac:dyDescent="0.2">
      <c r="A543">
        <f t="shared" si="10"/>
        <v>542</v>
      </c>
      <c r="B543">
        <v>42</v>
      </c>
      <c r="C543" t="s">
        <v>138</v>
      </c>
      <c r="D543" t="s">
        <v>607</v>
      </c>
      <c r="E543" t="s">
        <v>527</v>
      </c>
      <c r="F543" t="s">
        <v>307</v>
      </c>
      <c r="G543">
        <v>8.6</v>
      </c>
      <c r="H543">
        <v>7.6</v>
      </c>
      <c r="I543" t="e">
        <v>#N/A</v>
      </c>
      <c r="J543" s="2" t="e">
        <v>#N/A</v>
      </c>
      <c r="K543" s="2">
        <v>3.88</v>
      </c>
      <c r="L543" t="s">
        <v>608</v>
      </c>
      <c r="M543" t="e">
        <v>#N/A</v>
      </c>
      <c r="N543">
        <f>2000+RIGHT(Table1[[#This Row],[Release Date]],2)</f>
        <v>2010</v>
      </c>
      <c r="O543">
        <f>_xlfn.MAXIFS(Table1[[#This Row],[Total Shipped]]:Table1[[#This Row],[Total Sales]],Table1[[#This Row],[Total Shipped]]:Table1[[#This Row],[Total Sales]],"&lt;&gt;#N/A")</f>
        <v>3.88</v>
      </c>
      <c r="P543">
        <f>_xlfn.MAXIFS(Table1[[#This Row],[VGChartz Score]:[User Score]],Table1[[#This Row],[VGChartz Score]:[User Score]],"&lt;&gt;#N/A")</f>
        <v>8.6</v>
      </c>
    </row>
    <row r="544" spans="1:16" hidden="1" x14ac:dyDescent="0.2">
      <c r="A544">
        <f t="shared" si="10"/>
        <v>543</v>
      </c>
      <c r="B544">
        <v>43</v>
      </c>
      <c r="C544" t="s">
        <v>138</v>
      </c>
      <c r="D544" t="s">
        <v>436</v>
      </c>
      <c r="E544" t="s">
        <v>527</v>
      </c>
      <c r="F544" t="s">
        <v>324</v>
      </c>
      <c r="G544">
        <v>8</v>
      </c>
      <c r="H544">
        <v>8.6999999999999993</v>
      </c>
      <c r="I544" t="e">
        <v>#N/A</v>
      </c>
      <c r="J544" s="1" t="e">
        <v>#N/A</v>
      </c>
      <c r="K544" s="1">
        <v>3.64</v>
      </c>
      <c r="L544" t="s">
        <v>604</v>
      </c>
      <c r="M544" t="s">
        <v>353</v>
      </c>
      <c r="N544">
        <f>2000+RIGHT(Table1[[#This Row],[Release Date]],2)</f>
        <v>2013</v>
      </c>
      <c r="O544">
        <f>_xlfn.MAXIFS(Table1[[#This Row],[Total Shipped]]:Table1[[#This Row],[Total Sales]],Table1[[#This Row],[Total Shipped]]:Table1[[#This Row],[Total Sales]],"&lt;&gt;#N/A")</f>
        <v>3.64</v>
      </c>
      <c r="P544">
        <f>_xlfn.MAXIFS(Table1[[#This Row],[VGChartz Score]:[User Score]],Table1[[#This Row],[VGChartz Score]:[User Score]],"&lt;&gt;#N/A")</f>
        <v>8.6999999999999993</v>
      </c>
    </row>
    <row r="545" spans="1:16" hidden="1" x14ac:dyDescent="0.2">
      <c r="A545">
        <f t="shared" si="10"/>
        <v>544</v>
      </c>
      <c r="B545">
        <v>44</v>
      </c>
      <c r="C545" t="s">
        <v>138</v>
      </c>
      <c r="D545" t="s">
        <v>609</v>
      </c>
      <c r="E545" t="s">
        <v>527</v>
      </c>
      <c r="F545" t="s">
        <v>244</v>
      </c>
      <c r="G545">
        <v>9</v>
      </c>
      <c r="H545">
        <v>9</v>
      </c>
      <c r="I545" t="e">
        <v>#N/A</v>
      </c>
      <c r="J545" s="2" t="e">
        <v>#N/A</v>
      </c>
      <c r="K545" s="2">
        <v>3.63</v>
      </c>
      <c r="L545" t="s">
        <v>610</v>
      </c>
      <c r="M545" t="e">
        <v>#N/A</v>
      </c>
      <c r="N545">
        <f>2000+RIGHT(Table1[[#This Row],[Release Date]],2)</f>
        <v>2009</v>
      </c>
      <c r="O545">
        <f>_xlfn.MAXIFS(Table1[[#This Row],[Total Shipped]]:Table1[[#This Row],[Total Sales]],Table1[[#This Row],[Total Shipped]]:Table1[[#This Row],[Total Sales]],"&lt;&gt;#N/A")</f>
        <v>3.63</v>
      </c>
      <c r="P545">
        <f>_xlfn.MAXIFS(Table1[[#This Row],[VGChartz Score]:[User Score]],Table1[[#This Row],[VGChartz Score]:[User Score]],"&lt;&gt;#N/A")</f>
        <v>9</v>
      </c>
    </row>
    <row r="546" spans="1:16" hidden="1" x14ac:dyDescent="0.2">
      <c r="A546">
        <f t="shared" si="10"/>
        <v>545</v>
      </c>
      <c r="B546">
        <v>45</v>
      </c>
      <c r="C546" t="s">
        <v>138</v>
      </c>
      <c r="D546" t="s">
        <v>611</v>
      </c>
      <c r="E546" t="s">
        <v>527</v>
      </c>
      <c r="F546" t="s">
        <v>307</v>
      </c>
      <c r="G546">
        <v>9.3000000000000007</v>
      </c>
      <c r="H546">
        <v>9.1</v>
      </c>
      <c r="I546" t="e">
        <v>#N/A</v>
      </c>
      <c r="J546" s="1" t="e">
        <v>#N/A</v>
      </c>
      <c r="K546" s="1">
        <v>3.43</v>
      </c>
      <c r="L546" t="s">
        <v>612</v>
      </c>
      <c r="M546" t="e">
        <v>#N/A</v>
      </c>
      <c r="N546">
        <f>2000+RIGHT(Table1[[#This Row],[Release Date]],2)</f>
        <v>2011</v>
      </c>
      <c r="O546">
        <f>_xlfn.MAXIFS(Table1[[#This Row],[Total Shipped]]:Table1[[#This Row],[Total Sales]],Table1[[#This Row],[Total Shipped]]:Table1[[#This Row],[Total Sales]],"&lt;&gt;#N/A")</f>
        <v>3.43</v>
      </c>
      <c r="P546">
        <f>_xlfn.MAXIFS(Table1[[#This Row],[VGChartz Score]:[User Score]],Table1[[#This Row],[VGChartz Score]:[User Score]],"&lt;&gt;#N/A")</f>
        <v>9.3000000000000007</v>
      </c>
    </row>
    <row r="547" spans="1:16" hidden="1" x14ac:dyDescent="0.2">
      <c r="A547">
        <f t="shared" si="10"/>
        <v>546</v>
      </c>
      <c r="B547">
        <v>46</v>
      </c>
      <c r="C547" t="s">
        <v>138</v>
      </c>
      <c r="D547" t="s">
        <v>613</v>
      </c>
      <c r="E547" t="s">
        <v>527</v>
      </c>
      <c r="F547" t="s">
        <v>151</v>
      </c>
      <c r="G547" t="e">
        <v>#N/A</v>
      </c>
      <c r="H547" t="e">
        <v>#N/A</v>
      </c>
      <c r="I547" t="e">
        <v>#N/A</v>
      </c>
      <c r="J547" s="2" t="e">
        <v>#N/A</v>
      </c>
      <c r="K547" s="2">
        <v>3.27</v>
      </c>
      <c r="L547" t="s">
        <v>614</v>
      </c>
      <c r="M547" t="e">
        <v>#N/A</v>
      </c>
      <c r="N547">
        <f>2000+RIGHT(Table1[[#This Row],[Release Date]],2)</f>
        <v>2012</v>
      </c>
      <c r="O547">
        <f>_xlfn.MAXIFS(Table1[[#This Row],[Total Shipped]]:Table1[[#This Row],[Total Sales]],Table1[[#This Row],[Total Shipped]]:Table1[[#This Row],[Total Sales]],"&lt;&gt;#N/A")</f>
        <v>3.27</v>
      </c>
      <c r="P547">
        <f>_xlfn.MAXIFS(Table1[[#This Row],[VGChartz Score]:[User Score]],Table1[[#This Row],[VGChartz Score]:[User Score]],"&lt;&gt;#N/A")</f>
        <v>0</v>
      </c>
    </row>
    <row r="548" spans="1:16" hidden="1" x14ac:dyDescent="0.2">
      <c r="A548">
        <f t="shared" si="10"/>
        <v>547</v>
      </c>
      <c r="B548">
        <v>47</v>
      </c>
      <c r="C548" t="s">
        <v>138</v>
      </c>
      <c r="D548" t="s">
        <v>615</v>
      </c>
      <c r="E548" t="s">
        <v>527</v>
      </c>
      <c r="F548" t="s">
        <v>297</v>
      </c>
      <c r="G548" t="e">
        <v>#N/A</v>
      </c>
      <c r="H548">
        <v>9.1</v>
      </c>
      <c r="I548" t="e">
        <v>#N/A</v>
      </c>
      <c r="J548" s="1" t="e">
        <v>#N/A</v>
      </c>
      <c r="K548" s="1">
        <v>3.21</v>
      </c>
      <c r="L548" t="s">
        <v>600</v>
      </c>
      <c r="M548" t="e">
        <v>#N/A</v>
      </c>
      <c r="N548">
        <f>2000+RIGHT(Table1[[#This Row],[Release Date]],2)</f>
        <v>2011</v>
      </c>
      <c r="O548">
        <f>_xlfn.MAXIFS(Table1[[#This Row],[Total Shipped]]:Table1[[#This Row],[Total Sales]],Table1[[#This Row],[Total Shipped]]:Table1[[#This Row],[Total Sales]],"&lt;&gt;#N/A")</f>
        <v>3.21</v>
      </c>
      <c r="P548">
        <f>_xlfn.MAXIFS(Table1[[#This Row],[VGChartz Score]:[User Score]],Table1[[#This Row],[VGChartz Score]:[User Score]],"&lt;&gt;#N/A")</f>
        <v>9.1</v>
      </c>
    </row>
    <row r="549" spans="1:16" hidden="1" x14ac:dyDescent="0.2">
      <c r="A549">
        <f t="shared" si="10"/>
        <v>548</v>
      </c>
      <c r="B549">
        <v>48</v>
      </c>
      <c r="C549" t="s">
        <v>138</v>
      </c>
      <c r="D549" t="s">
        <v>616</v>
      </c>
      <c r="E549" t="s">
        <v>527</v>
      </c>
      <c r="F549" t="s">
        <v>222</v>
      </c>
      <c r="G549" t="e">
        <v>#N/A</v>
      </c>
      <c r="H549">
        <v>8.1999999999999993</v>
      </c>
      <c r="I549" t="e">
        <v>#N/A</v>
      </c>
      <c r="J549" s="2" t="e">
        <v>#N/A</v>
      </c>
      <c r="K549" s="2">
        <v>3.17</v>
      </c>
      <c r="L549" t="s">
        <v>617</v>
      </c>
      <c r="M549" t="e">
        <v>#N/A</v>
      </c>
      <c r="N549">
        <f>2000+RIGHT(Table1[[#This Row],[Release Date]],2)</f>
        <v>2010</v>
      </c>
      <c r="O549">
        <f>_xlfn.MAXIFS(Table1[[#This Row],[Total Shipped]]:Table1[[#This Row],[Total Sales]],Table1[[#This Row],[Total Shipped]]:Table1[[#This Row],[Total Sales]],"&lt;&gt;#N/A")</f>
        <v>3.17</v>
      </c>
      <c r="P549">
        <f>_xlfn.MAXIFS(Table1[[#This Row],[VGChartz Score]:[User Score]],Table1[[#This Row],[VGChartz Score]:[User Score]],"&lt;&gt;#N/A")</f>
        <v>8.1999999999999993</v>
      </c>
    </row>
    <row r="550" spans="1:16" hidden="1" x14ac:dyDescent="0.2">
      <c r="A550">
        <f t="shared" si="10"/>
        <v>549</v>
      </c>
      <c r="B550">
        <v>49</v>
      </c>
      <c r="C550" t="s">
        <v>138</v>
      </c>
      <c r="D550" t="s">
        <v>618</v>
      </c>
      <c r="E550" t="s">
        <v>527</v>
      </c>
      <c r="F550" t="s">
        <v>222</v>
      </c>
      <c r="G550">
        <v>8.8000000000000007</v>
      </c>
      <c r="H550">
        <v>9.3000000000000007</v>
      </c>
      <c r="I550" t="e">
        <v>#N/A</v>
      </c>
      <c r="J550" s="1" t="e">
        <v>#N/A</v>
      </c>
      <c r="K550" s="1">
        <v>3.12</v>
      </c>
      <c r="L550" t="s">
        <v>619</v>
      </c>
      <c r="M550" t="e">
        <v>#N/A</v>
      </c>
      <c r="N550">
        <f>2000+RIGHT(Table1[[#This Row],[Release Date]],2)</f>
        <v>2007</v>
      </c>
      <c r="O550">
        <f>_xlfn.MAXIFS(Table1[[#This Row],[Total Shipped]]:Table1[[#This Row],[Total Sales]],Table1[[#This Row],[Total Shipped]]:Table1[[#This Row],[Total Sales]],"&lt;&gt;#N/A")</f>
        <v>3.12</v>
      </c>
      <c r="P550">
        <f>_xlfn.MAXIFS(Table1[[#This Row],[VGChartz Score]:[User Score]],Table1[[#This Row],[VGChartz Score]:[User Score]],"&lt;&gt;#N/A")</f>
        <v>9.3000000000000007</v>
      </c>
    </row>
    <row r="551" spans="1:16" hidden="1" x14ac:dyDescent="0.2">
      <c r="A551">
        <f t="shared" si="10"/>
        <v>550</v>
      </c>
      <c r="B551">
        <v>50</v>
      </c>
      <c r="C551" t="s">
        <v>138</v>
      </c>
      <c r="D551" t="s">
        <v>620</v>
      </c>
      <c r="E551" t="s">
        <v>527</v>
      </c>
      <c r="F551" t="s">
        <v>621</v>
      </c>
      <c r="G551" t="e">
        <v>#N/A</v>
      </c>
      <c r="H551">
        <v>7.9</v>
      </c>
      <c r="I551" t="e">
        <v>#N/A</v>
      </c>
      <c r="J551" s="2">
        <v>3.12</v>
      </c>
      <c r="K551" s="2" t="e">
        <v>#N/A</v>
      </c>
      <c r="L551" t="s">
        <v>622</v>
      </c>
      <c r="M551" t="e">
        <v>#N/A</v>
      </c>
      <c r="N551">
        <f>2000+RIGHT(Table1[[#This Row],[Release Date]],2)</f>
        <v>2009</v>
      </c>
      <c r="O551">
        <f>_xlfn.MAXIFS(Table1[[#This Row],[Total Shipped]]:Table1[[#This Row],[Total Sales]],Table1[[#This Row],[Total Shipped]]:Table1[[#This Row],[Total Sales]],"&lt;&gt;#N/A")</f>
        <v>3.12</v>
      </c>
      <c r="P551">
        <f>_xlfn.MAXIFS(Table1[[#This Row],[VGChartz Score]:[User Score]],Table1[[#This Row],[VGChartz Score]:[User Score]],"&lt;&gt;#N/A")</f>
        <v>7.9</v>
      </c>
    </row>
    <row r="552" spans="1:16" hidden="1" x14ac:dyDescent="0.2">
      <c r="A552">
        <f t="shared" si="10"/>
        <v>551</v>
      </c>
      <c r="B552">
        <v>51</v>
      </c>
      <c r="C552" t="s">
        <v>138</v>
      </c>
      <c r="D552" t="s">
        <v>236</v>
      </c>
      <c r="E552" t="s">
        <v>527</v>
      </c>
      <c r="F552" t="s">
        <v>69</v>
      </c>
      <c r="G552">
        <v>7.7</v>
      </c>
      <c r="H552" t="e">
        <v>#N/A</v>
      </c>
      <c r="I552" t="e">
        <v>#N/A</v>
      </c>
      <c r="J552" s="1" t="e">
        <v>#N/A</v>
      </c>
      <c r="K552" s="1">
        <v>3.12</v>
      </c>
      <c r="L552" t="s">
        <v>623</v>
      </c>
      <c r="M552" t="e">
        <v>#N/A</v>
      </c>
      <c r="N552">
        <f>2000+RIGHT(Table1[[#This Row],[Release Date]],2)</f>
        <v>2012</v>
      </c>
      <c r="O552">
        <f>_xlfn.MAXIFS(Table1[[#This Row],[Total Shipped]]:Table1[[#This Row],[Total Sales]],Table1[[#This Row],[Total Shipped]]:Table1[[#This Row],[Total Sales]],"&lt;&gt;#N/A")</f>
        <v>3.12</v>
      </c>
      <c r="P552">
        <f>_xlfn.MAXIFS(Table1[[#This Row],[VGChartz Score]:[User Score]],Table1[[#This Row],[VGChartz Score]:[User Score]],"&lt;&gt;#N/A")</f>
        <v>7.7</v>
      </c>
    </row>
    <row r="553" spans="1:16" hidden="1" x14ac:dyDescent="0.2">
      <c r="A553">
        <f t="shared" si="10"/>
        <v>552</v>
      </c>
      <c r="B553">
        <v>52</v>
      </c>
      <c r="C553" t="s">
        <v>138</v>
      </c>
      <c r="D553" t="s">
        <v>624</v>
      </c>
      <c r="E553" t="s">
        <v>527</v>
      </c>
      <c r="F553" t="s">
        <v>307</v>
      </c>
      <c r="G553">
        <v>8.1</v>
      </c>
      <c r="H553" t="e">
        <v>#N/A</v>
      </c>
      <c r="I553" t="e">
        <v>#N/A</v>
      </c>
      <c r="J553" s="2">
        <v>3</v>
      </c>
      <c r="K553" s="2" t="e">
        <v>#N/A</v>
      </c>
      <c r="L553" t="s">
        <v>625</v>
      </c>
      <c r="M553" t="s">
        <v>514</v>
      </c>
      <c r="N553">
        <f>2000+RIGHT(Table1[[#This Row],[Release Date]],2)</f>
        <v>2013</v>
      </c>
      <c r="O553">
        <f>_xlfn.MAXIFS(Table1[[#This Row],[Total Shipped]]:Table1[[#This Row],[Total Sales]],Table1[[#This Row],[Total Shipped]]:Table1[[#This Row],[Total Sales]],"&lt;&gt;#N/A")</f>
        <v>3</v>
      </c>
      <c r="P553">
        <f>_xlfn.MAXIFS(Table1[[#This Row],[VGChartz Score]:[User Score]],Table1[[#This Row],[VGChartz Score]:[User Score]],"&lt;&gt;#N/A")</f>
        <v>8.1</v>
      </c>
    </row>
    <row r="554" spans="1:16" hidden="1" x14ac:dyDescent="0.2">
      <c r="A554">
        <f t="shared" si="10"/>
        <v>553</v>
      </c>
      <c r="B554">
        <v>53</v>
      </c>
      <c r="C554" t="s">
        <v>138</v>
      </c>
      <c r="D554" t="s">
        <v>626</v>
      </c>
      <c r="E554" t="s">
        <v>527</v>
      </c>
      <c r="F554" t="s">
        <v>307</v>
      </c>
      <c r="G554">
        <v>9.1</v>
      </c>
      <c r="H554">
        <v>8.8000000000000007</v>
      </c>
      <c r="I554">
        <v>8.6</v>
      </c>
      <c r="J554" s="1">
        <v>3</v>
      </c>
      <c r="K554" s="1" t="e">
        <v>#N/A</v>
      </c>
      <c r="L554" t="s">
        <v>627</v>
      </c>
      <c r="M554" t="e">
        <v>#N/A</v>
      </c>
      <c r="N554">
        <f>2000+RIGHT(Table1[[#This Row],[Release Date]],2)</f>
        <v>2010</v>
      </c>
      <c r="O554">
        <f>_xlfn.MAXIFS(Table1[[#This Row],[Total Shipped]]:Table1[[#This Row],[Total Sales]],Table1[[#This Row],[Total Shipped]]:Table1[[#This Row],[Total Sales]],"&lt;&gt;#N/A")</f>
        <v>3</v>
      </c>
      <c r="P554">
        <f>_xlfn.MAXIFS(Table1[[#This Row],[VGChartz Score]:[User Score]],Table1[[#This Row],[VGChartz Score]:[User Score]],"&lt;&gt;#N/A")</f>
        <v>9.1</v>
      </c>
    </row>
    <row r="555" spans="1:16" hidden="1" x14ac:dyDescent="0.2">
      <c r="A555">
        <f t="shared" si="10"/>
        <v>554</v>
      </c>
      <c r="B555">
        <v>54</v>
      </c>
      <c r="C555" t="s">
        <v>138</v>
      </c>
      <c r="D555" t="s">
        <v>628</v>
      </c>
      <c r="E555" t="s">
        <v>527</v>
      </c>
      <c r="F555" t="s">
        <v>307</v>
      </c>
      <c r="G555">
        <v>8.5</v>
      </c>
      <c r="H555">
        <v>8.1999999999999993</v>
      </c>
      <c r="I555" t="e">
        <v>#N/A</v>
      </c>
      <c r="J555" s="2">
        <v>3</v>
      </c>
      <c r="K555" s="2" t="e">
        <v>#N/A</v>
      </c>
      <c r="L555" t="s">
        <v>629</v>
      </c>
      <c r="M555" t="e">
        <v>#N/A</v>
      </c>
      <c r="N555">
        <f>2000+RIGHT(Table1[[#This Row],[Release Date]],2)</f>
        <v>2007</v>
      </c>
      <c r="O555">
        <f>_xlfn.MAXIFS(Table1[[#This Row],[Total Shipped]]:Table1[[#This Row],[Total Sales]],Table1[[#This Row],[Total Shipped]]:Table1[[#This Row],[Total Sales]],"&lt;&gt;#N/A")</f>
        <v>3</v>
      </c>
      <c r="P555">
        <f>_xlfn.MAXIFS(Table1[[#This Row],[VGChartz Score]:[User Score]],Table1[[#This Row],[VGChartz Score]:[User Score]],"&lt;&gt;#N/A")</f>
        <v>8.5</v>
      </c>
    </row>
    <row r="556" spans="1:16" hidden="1" x14ac:dyDescent="0.2">
      <c r="A556">
        <f t="shared" si="10"/>
        <v>555</v>
      </c>
      <c r="B556">
        <v>55</v>
      </c>
      <c r="C556" t="s">
        <v>138</v>
      </c>
      <c r="D556" t="s">
        <v>630</v>
      </c>
      <c r="E556" t="s">
        <v>527</v>
      </c>
      <c r="F556" t="s">
        <v>324</v>
      </c>
      <c r="G556" t="e">
        <v>#N/A</v>
      </c>
      <c r="H556">
        <v>8.9</v>
      </c>
      <c r="I556">
        <v>8.8000000000000007</v>
      </c>
      <c r="J556" s="1" t="e">
        <v>#N/A</v>
      </c>
      <c r="K556" s="1">
        <v>2.96</v>
      </c>
      <c r="L556" t="s">
        <v>631</v>
      </c>
      <c r="M556" t="e">
        <v>#N/A</v>
      </c>
      <c r="N556">
        <f>2000+RIGHT(Table1[[#This Row],[Release Date]],2)</f>
        <v>2010</v>
      </c>
      <c r="O556">
        <f>_xlfn.MAXIFS(Table1[[#This Row],[Total Shipped]]:Table1[[#This Row],[Total Sales]],Table1[[#This Row],[Total Shipped]]:Table1[[#This Row],[Total Sales]],"&lt;&gt;#N/A")</f>
        <v>2.96</v>
      </c>
      <c r="P556">
        <f>_xlfn.MAXIFS(Table1[[#This Row],[VGChartz Score]:[User Score]],Table1[[#This Row],[VGChartz Score]:[User Score]],"&lt;&gt;#N/A")</f>
        <v>8.9</v>
      </c>
    </row>
    <row r="557" spans="1:16" hidden="1" x14ac:dyDescent="0.2">
      <c r="A557">
        <f t="shared" si="10"/>
        <v>556</v>
      </c>
      <c r="B557">
        <v>56</v>
      </c>
      <c r="C557" t="s">
        <v>138</v>
      </c>
      <c r="D557" t="s">
        <v>632</v>
      </c>
      <c r="E557" t="s">
        <v>527</v>
      </c>
      <c r="F557" t="s">
        <v>321</v>
      </c>
      <c r="G557">
        <v>8.5</v>
      </c>
      <c r="H557">
        <v>8.5</v>
      </c>
      <c r="I557" t="e">
        <v>#N/A</v>
      </c>
      <c r="J557" s="2" t="e">
        <v>#N/A</v>
      </c>
      <c r="K557" s="2">
        <v>2.9</v>
      </c>
      <c r="L557" t="s">
        <v>633</v>
      </c>
      <c r="M557" t="s">
        <v>634</v>
      </c>
      <c r="N557">
        <f>2000+RIGHT(Table1[[#This Row],[Release Date]],2)</f>
        <v>2011</v>
      </c>
      <c r="O557">
        <f>_xlfn.MAXIFS(Table1[[#This Row],[Total Shipped]]:Table1[[#This Row],[Total Sales]],Table1[[#This Row],[Total Shipped]]:Table1[[#This Row],[Total Sales]],"&lt;&gt;#N/A")</f>
        <v>2.9</v>
      </c>
      <c r="P557">
        <f>_xlfn.MAXIFS(Table1[[#This Row],[VGChartz Score]:[User Score]],Table1[[#This Row],[VGChartz Score]:[User Score]],"&lt;&gt;#N/A")</f>
        <v>8.5</v>
      </c>
    </row>
    <row r="558" spans="1:16" hidden="1" x14ac:dyDescent="0.2">
      <c r="A558">
        <f t="shared" si="10"/>
        <v>557</v>
      </c>
      <c r="B558">
        <v>57</v>
      </c>
      <c r="C558" t="s">
        <v>138</v>
      </c>
      <c r="D558" t="s">
        <v>635</v>
      </c>
      <c r="E558" t="s">
        <v>527</v>
      </c>
      <c r="F558" t="s">
        <v>151</v>
      </c>
      <c r="G558">
        <v>8.8000000000000007</v>
      </c>
      <c r="H558">
        <v>9.1</v>
      </c>
      <c r="I558" t="e">
        <v>#N/A</v>
      </c>
      <c r="J558" s="1" t="e">
        <v>#N/A</v>
      </c>
      <c r="K558" s="1">
        <v>2.85</v>
      </c>
      <c r="L558" t="s">
        <v>636</v>
      </c>
      <c r="M558" t="e">
        <v>#N/A</v>
      </c>
      <c r="N558">
        <f>2000+RIGHT(Table1[[#This Row],[Release Date]],2)</f>
        <v>2010</v>
      </c>
      <c r="O558">
        <f>_xlfn.MAXIFS(Table1[[#This Row],[Total Shipped]]:Table1[[#This Row],[Total Sales]],Table1[[#This Row],[Total Shipped]]:Table1[[#This Row],[Total Sales]],"&lt;&gt;#N/A")</f>
        <v>2.85</v>
      </c>
      <c r="P558">
        <f>_xlfn.MAXIFS(Table1[[#This Row],[VGChartz Score]:[User Score]],Table1[[#This Row],[VGChartz Score]:[User Score]],"&lt;&gt;#N/A")</f>
        <v>9.1</v>
      </c>
    </row>
    <row r="559" spans="1:16" hidden="1" x14ac:dyDescent="0.2">
      <c r="A559">
        <f t="shared" ref="A559:A603" si="11">ROW()-1</f>
        <v>558</v>
      </c>
      <c r="B559">
        <v>58</v>
      </c>
      <c r="C559" t="s">
        <v>138</v>
      </c>
      <c r="D559" t="s">
        <v>637</v>
      </c>
      <c r="E559" t="s">
        <v>527</v>
      </c>
      <c r="F559" t="s">
        <v>307</v>
      </c>
      <c r="G559">
        <v>8.6999999999999993</v>
      </c>
      <c r="H559">
        <v>8.5</v>
      </c>
      <c r="I559">
        <v>8.6999999999999993</v>
      </c>
      <c r="J559" s="2">
        <v>2.84</v>
      </c>
      <c r="K559" s="2" t="e">
        <v>#N/A</v>
      </c>
      <c r="L559" t="s">
        <v>638</v>
      </c>
      <c r="M559" t="e">
        <v>#N/A</v>
      </c>
      <c r="N559">
        <f>2000+RIGHT(Table1[[#This Row],[Release Date]],2)</f>
        <v>2008</v>
      </c>
      <c r="O559">
        <f>_xlfn.MAXIFS(Table1[[#This Row],[Total Shipped]]:Table1[[#This Row],[Total Sales]],Table1[[#This Row],[Total Shipped]]:Table1[[#This Row],[Total Sales]],"&lt;&gt;#N/A")</f>
        <v>2.84</v>
      </c>
      <c r="P559">
        <f>_xlfn.MAXIFS(Table1[[#This Row],[VGChartz Score]:[User Score]],Table1[[#This Row],[VGChartz Score]:[User Score]],"&lt;&gt;#N/A")</f>
        <v>8.6999999999999993</v>
      </c>
    </row>
    <row r="560" spans="1:16" hidden="1" x14ac:dyDescent="0.2">
      <c r="A560">
        <f t="shared" si="11"/>
        <v>559</v>
      </c>
      <c r="B560">
        <v>59</v>
      </c>
      <c r="C560" t="s">
        <v>138</v>
      </c>
      <c r="D560" t="s">
        <v>639</v>
      </c>
      <c r="E560" t="s">
        <v>527</v>
      </c>
      <c r="F560" t="s">
        <v>324</v>
      </c>
      <c r="G560" t="e">
        <v>#N/A</v>
      </c>
      <c r="H560">
        <v>6.7</v>
      </c>
      <c r="I560" t="e">
        <v>#N/A</v>
      </c>
      <c r="J560" s="1" t="e">
        <v>#N/A</v>
      </c>
      <c r="K560" s="1">
        <v>2.82</v>
      </c>
      <c r="L560" t="s">
        <v>640</v>
      </c>
      <c r="M560" t="e">
        <v>#N/A</v>
      </c>
      <c r="N560">
        <f>2000+RIGHT(Table1[[#This Row],[Release Date]],2)</f>
        <v>2010</v>
      </c>
      <c r="O560">
        <f>_xlfn.MAXIFS(Table1[[#This Row],[Total Shipped]]:Table1[[#This Row],[Total Sales]],Table1[[#This Row],[Total Shipped]]:Table1[[#This Row],[Total Sales]],"&lt;&gt;#N/A")</f>
        <v>2.82</v>
      </c>
      <c r="P560">
        <f>_xlfn.MAXIFS(Table1[[#This Row],[VGChartz Score]:[User Score]],Table1[[#This Row],[VGChartz Score]:[User Score]],"&lt;&gt;#N/A")</f>
        <v>6.7</v>
      </c>
    </row>
    <row r="561" spans="1:16" hidden="1" x14ac:dyDescent="0.2">
      <c r="A561">
        <f t="shared" si="11"/>
        <v>560</v>
      </c>
      <c r="B561">
        <v>60</v>
      </c>
      <c r="C561" t="s">
        <v>138</v>
      </c>
      <c r="D561" t="s">
        <v>641</v>
      </c>
      <c r="E561" t="s">
        <v>527</v>
      </c>
      <c r="F561" t="s">
        <v>324</v>
      </c>
      <c r="G561">
        <v>8.3000000000000007</v>
      </c>
      <c r="H561">
        <v>8.9</v>
      </c>
      <c r="I561" t="e">
        <v>#N/A</v>
      </c>
      <c r="J561" s="2" t="e">
        <v>#N/A</v>
      </c>
      <c r="K561" s="2">
        <v>2.81</v>
      </c>
      <c r="L561" t="s">
        <v>636</v>
      </c>
      <c r="M561" t="e">
        <v>#N/A</v>
      </c>
      <c r="N561">
        <f>2000+RIGHT(Table1[[#This Row],[Release Date]],2)</f>
        <v>2010</v>
      </c>
      <c r="O561">
        <f>_xlfn.MAXIFS(Table1[[#This Row],[Total Shipped]]:Table1[[#This Row],[Total Sales]],Table1[[#This Row],[Total Shipped]]:Table1[[#This Row],[Total Sales]],"&lt;&gt;#N/A")</f>
        <v>2.81</v>
      </c>
      <c r="P561">
        <f>_xlfn.MAXIFS(Table1[[#This Row],[VGChartz Score]:[User Score]],Table1[[#This Row],[VGChartz Score]:[User Score]],"&lt;&gt;#N/A")</f>
        <v>8.9</v>
      </c>
    </row>
    <row r="562" spans="1:16" hidden="1" x14ac:dyDescent="0.2">
      <c r="A562">
        <f t="shared" si="11"/>
        <v>561</v>
      </c>
      <c r="B562">
        <v>61</v>
      </c>
      <c r="C562" t="s">
        <v>138</v>
      </c>
      <c r="D562" t="s">
        <v>642</v>
      </c>
      <c r="E562" t="s">
        <v>527</v>
      </c>
      <c r="F562" t="s">
        <v>307</v>
      </c>
      <c r="G562">
        <v>8.9</v>
      </c>
      <c r="H562">
        <v>8.1999999999999993</v>
      </c>
      <c r="I562" t="e">
        <v>#N/A</v>
      </c>
      <c r="J562" s="1" t="e">
        <v>#N/A</v>
      </c>
      <c r="K562" s="1">
        <v>2.81</v>
      </c>
      <c r="L562" t="s">
        <v>643</v>
      </c>
      <c r="M562" t="e">
        <v>#N/A</v>
      </c>
      <c r="N562">
        <f>2000+RIGHT(Table1[[#This Row],[Release Date]],2)</f>
        <v>2011</v>
      </c>
      <c r="O562">
        <f>_xlfn.MAXIFS(Table1[[#This Row],[Total Shipped]]:Table1[[#This Row],[Total Sales]],Table1[[#This Row],[Total Shipped]]:Table1[[#This Row],[Total Sales]],"&lt;&gt;#N/A")</f>
        <v>2.81</v>
      </c>
      <c r="P562">
        <f>_xlfn.MAXIFS(Table1[[#This Row],[VGChartz Score]:[User Score]],Table1[[#This Row],[VGChartz Score]:[User Score]],"&lt;&gt;#N/A")</f>
        <v>8.9</v>
      </c>
    </row>
    <row r="563" spans="1:16" hidden="1" x14ac:dyDescent="0.2">
      <c r="A563">
        <f t="shared" si="11"/>
        <v>562</v>
      </c>
      <c r="B563">
        <v>62</v>
      </c>
      <c r="C563" t="s">
        <v>138</v>
      </c>
      <c r="D563" t="s">
        <v>644</v>
      </c>
      <c r="E563" t="s">
        <v>527</v>
      </c>
      <c r="F563" t="s">
        <v>324</v>
      </c>
      <c r="G563" t="e">
        <v>#N/A</v>
      </c>
      <c r="H563">
        <v>8.5</v>
      </c>
      <c r="I563" t="e">
        <v>#N/A</v>
      </c>
      <c r="J563" s="2" t="e">
        <v>#N/A</v>
      </c>
      <c r="K563" s="2">
        <v>2.74</v>
      </c>
      <c r="L563" t="s">
        <v>565</v>
      </c>
      <c r="M563" t="s">
        <v>519</v>
      </c>
      <c r="N563">
        <f>2000+RIGHT(Table1[[#This Row],[Release Date]],2)</f>
        <v>2012</v>
      </c>
      <c r="O563">
        <f>_xlfn.MAXIFS(Table1[[#This Row],[Total Shipped]]:Table1[[#This Row],[Total Sales]],Table1[[#This Row],[Total Shipped]]:Table1[[#This Row],[Total Sales]],"&lt;&gt;#N/A")</f>
        <v>2.74</v>
      </c>
      <c r="P563">
        <f>_xlfn.MAXIFS(Table1[[#This Row],[VGChartz Score]:[User Score]],Table1[[#This Row],[VGChartz Score]:[User Score]],"&lt;&gt;#N/A")</f>
        <v>8.5</v>
      </c>
    </row>
    <row r="564" spans="1:16" hidden="1" x14ac:dyDescent="0.2">
      <c r="A564">
        <f t="shared" si="11"/>
        <v>563</v>
      </c>
      <c r="B564">
        <v>63</v>
      </c>
      <c r="C564" t="s">
        <v>138</v>
      </c>
      <c r="D564" t="s">
        <v>645</v>
      </c>
      <c r="E564" t="s">
        <v>527</v>
      </c>
      <c r="F564" t="s">
        <v>244</v>
      </c>
      <c r="G564" t="e">
        <v>#N/A</v>
      </c>
      <c r="H564">
        <v>8.3000000000000007</v>
      </c>
      <c r="I564" t="e">
        <v>#N/A</v>
      </c>
      <c r="J564" s="1" t="e">
        <v>#N/A</v>
      </c>
      <c r="K564" s="1">
        <v>2.71</v>
      </c>
      <c r="L564" t="s">
        <v>646</v>
      </c>
      <c r="M564" t="s">
        <v>353</v>
      </c>
      <c r="N564">
        <f>2000+RIGHT(Table1[[#This Row],[Release Date]],2)</f>
        <v>2012</v>
      </c>
      <c r="O564">
        <f>_xlfn.MAXIFS(Table1[[#This Row],[Total Shipped]]:Table1[[#This Row],[Total Sales]],Table1[[#This Row],[Total Shipped]]:Table1[[#This Row],[Total Sales]],"&lt;&gt;#N/A")</f>
        <v>2.71</v>
      </c>
      <c r="P564">
        <f>_xlfn.MAXIFS(Table1[[#This Row],[VGChartz Score]:[User Score]],Table1[[#This Row],[VGChartz Score]:[User Score]],"&lt;&gt;#N/A")</f>
        <v>8.3000000000000007</v>
      </c>
    </row>
    <row r="565" spans="1:16" hidden="1" x14ac:dyDescent="0.2">
      <c r="A565">
        <f t="shared" si="11"/>
        <v>564</v>
      </c>
      <c r="B565">
        <v>64</v>
      </c>
      <c r="C565" t="s">
        <v>138</v>
      </c>
      <c r="D565" t="s">
        <v>647</v>
      </c>
      <c r="E565" t="s">
        <v>527</v>
      </c>
      <c r="F565" t="s">
        <v>254</v>
      </c>
      <c r="G565">
        <v>5.4</v>
      </c>
      <c r="H565">
        <v>8.3000000000000007</v>
      </c>
      <c r="I565" t="e">
        <v>#N/A</v>
      </c>
      <c r="J565" s="2" t="e">
        <v>#N/A</v>
      </c>
      <c r="K565" s="2">
        <v>2.66</v>
      </c>
      <c r="L565" t="s">
        <v>648</v>
      </c>
      <c r="M565" t="e">
        <v>#N/A</v>
      </c>
      <c r="N565">
        <f>2000+RIGHT(Table1[[#This Row],[Release Date]],2)</f>
        <v>2012</v>
      </c>
      <c r="O565">
        <f>_xlfn.MAXIFS(Table1[[#This Row],[Total Shipped]]:Table1[[#This Row],[Total Sales]],Table1[[#This Row],[Total Shipped]]:Table1[[#This Row],[Total Sales]],"&lt;&gt;#N/A")</f>
        <v>2.66</v>
      </c>
      <c r="P565">
        <f>_xlfn.MAXIFS(Table1[[#This Row],[VGChartz Score]:[User Score]],Table1[[#This Row],[VGChartz Score]:[User Score]],"&lt;&gt;#N/A")</f>
        <v>8.3000000000000007</v>
      </c>
    </row>
    <row r="566" spans="1:16" hidden="1" x14ac:dyDescent="0.2">
      <c r="A566">
        <f t="shared" si="11"/>
        <v>565</v>
      </c>
      <c r="B566">
        <v>65</v>
      </c>
      <c r="C566" t="s">
        <v>138</v>
      </c>
      <c r="D566" t="s">
        <v>649</v>
      </c>
      <c r="E566" t="s">
        <v>527</v>
      </c>
      <c r="F566" t="s">
        <v>324</v>
      </c>
      <c r="G566">
        <v>8.6</v>
      </c>
      <c r="H566">
        <v>8.1999999999999993</v>
      </c>
      <c r="I566" t="e">
        <v>#N/A</v>
      </c>
      <c r="J566" s="1" t="e">
        <v>#N/A</v>
      </c>
      <c r="K566" s="1">
        <v>2.65</v>
      </c>
      <c r="L566" t="s">
        <v>650</v>
      </c>
      <c r="M566" t="e">
        <v>#N/A</v>
      </c>
      <c r="N566">
        <f>2000+RIGHT(Table1[[#This Row],[Release Date]],2)</f>
        <v>2009</v>
      </c>
      <c r="O566">
        <f>_xlfn.MAXIFS(Table1[[#This Row],[Total Shipped]]:Table1[[#This Row],[Total Sales]],Table1[[#This Row],[Total Shipped]]:Table1[[#This Row],[Total Sales]],"&lt;&gt;#N/A")</f>
        <v>2.65</v>
      </c>
      <c r="P566">
        <f>_xlfn.MAXIFS(Table1[[#This Row],[VGChartz Score]:[User Score]],Table1[[#This Row],[VGChartz Score]:[User Score]],"&lt;&gt;#N/A")</f>
        <v>8.6</v>
      </c>
    </row>
    <row r="567" spans="1:16" hidden="1" x14ac:dyDescent="0.2">
      <c r="A567">
        <f t="shared" si="11"/>
        <v>566</v>
      </c>
      <c r="B567">
        <v>66</v>
      </c>
      <c r="C567" t="s">
        <v>138</v>
      </c>
      <c r="D567" t="s">
        <v>651</v>
      </c>
      <c r="E567" t="s">
        <v>527</v>
      </c>
      <c r="F567" t="s">
        <v>431</v>
      </c>
      <c r="G567" t="e">
        <v>#N/A</v>
      </c>
      <c r="H567">
        <v>8.9</v>
      </c>
      <c r="I567" t="e">
        <v>#N/A</v>
      </c>
      <c r="J567" s="2" t="e">
        <v>#N/A</v>
      </c>
      <c r="K567" s="2">
        <v>2.63</v>
      </c>
      <c r="L567" t="s">
        <v>623</v>
      </c>
      <c r="M567" t="s">
        <v>353</v>
      </c>
      <c r="N567">
        <f>2000+RIGHT(Table1[[#This Row],[Release Date]],2)</f>
        <v>2012</v>
      </c>
      <c r="O567">
        <f>_xlfn.MAXIFS(Table1[[#This Row],[Total Shipped]]:Table1[[#This Row],[Total Sales]],Table1[[#This Row],[Total Shipped]]:Table1[[#This Row],[Total Sales]],"&lt;&gt;#N/A")</f>
        <v>2.63</v>
      </c>
      <c r="P567">
        <f>_xlfn.MAXIFS(Table1[[#This Row],[VGChartz Score]:[User Score]],Table1[[#This Row],[VGChartz Score]:[User Score]],"&lt;&gt;#N/A")</f>
        <v>8.9</v>
      </c>
    </row>
    <row r="568" spans="1:16" hidden="1" x14ac:dyDescent="0.2">
      <c r="A568">
        <f t="shared" si="11"/>
        <v>567</v>
      </c>
      <c r="B568">
        <v>67</v>
      </c>
      <c r="C568" t="s">
        <v>138</v>
      </c>
      <c r="D568" t="s">
        <v>652</v>
      </c>
      <c r="E568" t="s">
        <v>527</v>
      </c>
      <c r="F568" t="s">
        <v>324</v>
      </c>
      <c r="G568" t="e">
        <v>#N/A</v>
      </c>
      <c r="H568">
        <v>8.6</v>
      </c>
      <c r="I568" t="e">
        <v>#N/A</v>
      </c>
      <c r="J568" s="1" t="e">
        <v>#N/A</v>
      </c>
      <c r="K568" s="1">
        <v>2.59</v>
      </c>
      <c r="L568" t="s">
        <v>653</v>
      </c>
      <c r="M568" t="e">
        <v>#N/A</v>
      </c>
      <c r="N568">
        <f>2000+RIGHT(Table1[[#This Row],[Release Date]],2)</f>
        <v>2008</v>
      </c>
      <c r="O568">
        <f>_xlfn.MAXIFS(Table1[[#This Row],[Total Shipped]]:Table1[[#This Row],[Total Sales]],Table1[[#This Row],[Total Shipped]]:Table1[[#This Row],[Total Sales]],"&lt;&gt;#N/A")</f>
        <v>2.59</v>
      </c>
      <c r="P568">
        <f>_xlfn.MAXIFS(Table1[[#This Row],[VGChartz Score]:[User Score]],Table1[[#This Row],[VGChartz Score]:[User Score]],"&lt;&gt;#N/A")</f>
        <v>8.6</v>
      </c>
    </row>
    <row r="569" spans="1:16" hidden="1" x14ac:dyDescent="0.2">
      <c r="A569">
        <f t="shared" si="11"/>
        <v>568</v>
      </c>
      <c r="B569">
        <v>68</v>
      </c>
      <c r="C569" t="s">
        <v>138</v>
      </c>
      <c r="D569" t="s">
        <v>341</v>
      </c>
      <c r="E569" t="s">
        <v>527</v>
      </c>
      <c r="F569" t="s">
        <v>244</v>
      </c>
      <c r="G569" t="e">
        <v>#N/A</v>
      </c>
      <c r="H569">
        <v>9</v>
      </c>
      <c r="I569" t="e">
        <v>#N/A</v>
      </c>
      <c r="J569" s="2" t="e">
        <v>#N/A</v>
      </c>
      <c r="K569" s="2">
        <v>2.5499999999999998</v>
      </c>
      <c r="L569" t="s">
        <v>342</v>
      </c>
      <c r="M569" t="s">
        <v>343</v>
      </c>
      <c r="N569">
        <f>2000+RIGHT(Table1[[#This Row],[Release Date]],2)</f>
        <v>2015</v>
      </c>
      <c r="O569">
        <f>_xlfn.MAXIFS(Table1[[#This Row],[Total Shipped]]:Table1[[#This Row],[Total Sales]],Table1[[#This Row],[Total Shipped]]:Table1[[#This Row],[Total Sales]],"&lt;&gt;#N/A")</f>
        <v>2.5499999999999998</v>
      </c>
      <c r="P569">
        <f>_xlfn.MAXIFS(Table1[[#This Row],[VGChartz Score]:[User Score]],Table1[[#This Row],[VGChartz Score]:[User Score]],"&lt;&gt;#N/A")</f>
        <v>9</v>
      </c>
    </row>
    <row r="570" spans="1:16" hidden="1" x14ac:dyDescent="0.2">
      <c r="A570">
        <f t="shared" si="11"/>
        <v>569</v>
      </c>
      <c r="B570">
        <v>69</v>
      </c>
      <c r="C570" t="s">
        <v>138</v>
      </c>
      <c r="D570" t="s">
        <v>654</v>
      </c>
      <c r="E570" t="s">
        <v>527</v>
      </c>
      <c r="F570" t="s">
        <v>307</v>
      </c>
      <c r="G570">
        <v>8.8000000000000007</v>
      </c>
      <c r="H570">
        <v>8.9</v>
      </c>
      <c r="I570" t="e">
        <v>#N/A</v>
      </c>
      <c r="J570" s="1">
        <v>2.54</v>
      </c>
      <c r="K570" s="1" t="e">
        <v>#N/A</v>
      </c>
      <c r="L570" t="s">
        <v>655</v>
      </c>
      <c r="M570" t="e">
        <v>#N/A</v>
      </c>
      <c r="N570">
        <f>2000+RIGHT(Table1[[#This Row],[Release Date]],2)</f>
        <v>2007</v>
      </c>
      <c r="O570">
        <f>_xlfn.MAXIFS(Table1[[#This Row],[Total Shipped]]:Table1[[#This Row],[Total Sales]],Table1[[#This Row],[Total Shipped]]:Table1[[#This Row],[Total Sales]],"&lt;&gt;#N/A")</f>
        <v>2.54</v>
      </c>
      <c r="P570">
        <f>_xlfn.MAXIFS(Table1[[#This Row],[VGChartz Score]:[User Score]],Table1[[#This Row],[VGChartz Score]:[User Score]],"&lt;&gt;#N/A")</f>
        <v>8.9</v>
      </c>
    </row>
    <row r="571" spans="1:16" hidden="1" x14ac:dyDescent="0.2">
      <c r="A571">
        <f t="shared" si="11"/>
        <v>570</v>
      </c>
      <c r="B571">
        <v>70</v>
      </c>
      <c r="C571" t="s">
        <v>138</v>
      </c>
      <c r="D571" t="s">
        <v>656</v>
      </c>
      <c r="E571" t="s">
        <v>527</v>
      </c>
      <c r="F571" t="s">
        <v>254</v>
      </c>
      <c r="G571">
        <v>8.6999999999999993</v>
      </c>
      <c r="H571">
        <v>8.9</v>
      </c>
      <c r="I571" t="e">
        <v>#N/A</v>
      </c>
      <c r="J571" s="2" t="e">
        <v>#N/A</v>
      </c>
      <c r="K571" s="2">
        <v>2.5099999999999998</v>
      </c>
      <c r="L571" t="s">
        <v>657</v>
      </c>
      <c r="M571" t="s">
        <v>634</v>
      </c>
      <c r="N571">
        <f>2000+RIGHT(Table1[[#This Row],[Release Date]],2)</f>
        <v>2013</v>
      </c>
      <c r="O571">
        <f>_xlfn.MAXIFS(Table1[[#This Row],[Total Shipped]]:Table1[[#This Row],[Total Sales]],Table1[[#This Row],[Total Shipped]]:Table1[[#This Row],[Total Sales]],"&lt;&gt;#N/A")</f>
        <v>2.5099999999999998</v>
      </c>
      <c r="P571">
        <f>_xlfn.MAXIFS(Table1[[#This Row],[VGChartz Score]:[User Score]],Table1[[#This Row],[VGChartz Score]:[User Score]],"&lt;&gt;#N/A")</f>
        <v>8.9</v>
      </c>
    </row>
    <row r="572" spans="1:16" hidden="1" x14ac:dyDescent="0.2">
      <c r="A572">
        <f t="shared" si="11"/>
        <v>571</v>
      </c>
      <c r="B572">
        <v>71</v>
      </c>
      <c r="C572" t="s">
        <v>138</v>
      </c>
      <c r="D572" t="s">
        <v>658</v>
      </c>
      <c r="E572" t="s">
        <v>527</v>
      </c>
      <c r="F572" t="s">
        <v>297</v>
      </c>
      <c r="G572" t="e">
        <v>#N/A</v>
      </c>
      <c r="H572">
        <v>8.3000000000000007</v>
      </c>
      <c r="I572" t="e">
        <v>#N/A</v>
      </c>
      <c r="J572" s="1" t="e">
        <v>#N/A</v>
      </c>
      <c r="K572" s="1">
        <v>2.5</v>
      </c>
      <c r="L572" t="s">
        <v>659</v>
      </c>
      <c r="M572" t="e">
        <v>#N/A</v>
      </c>
      <c r="N572">
        <f>2000+RIGHT(Table1[[#This Row],[Release Date]],2)</f>
        <v>2008</v>
      </c>
      <c r="O572">
        <f>_xlfn.MAXIFS(Table1[[#This Row],[Total Shipped]]:Table1[[#This Row],[Total Sales]],Table1[[#This Row],[Total Shipped]]:Table1[[#This Row],[Total Sales]],"&lt;&gt;#N/A")</f>
        <v>2.5</v>
      </c>
      <c r="P572">
        <f>_xlfn.MAXIFS(Table1[[#This Row],[VGChartz Score]:[User Score]],Table1[[#This Row],[VGChartz Score]:[User Score]],"&lt;&gt;#N/A")</f>
        <v>8.3000000000000007</v>
      </c>
    </row>
    <row r="573" spans="1:16" hidden="1" x14ac:dyDescent="0.2">
      <c r="A573">
        <f t="shared" si="11"/>
        <v>572</v>
      </c>
      <c r="B573">
        <v>72</v>
      </c>
      <c r="C573" t="s">
        <v>138</v>
      </c>
      <c r="D573" t="s">
        <v>660</v>
      </c>
      <c r="E573" t="s">
        <v>527</v>
      </c>
      <c r="F573" t="s">
        <v>661</v>
      </c>
      <c r="G573" t="e">
        <v>#N/A</v>
      </c>
      <c r="H573">
        <v>8.3000000000000007</v>
      </c>
      <c r="I573" t="e">
        <v>#N/A</v>
      </c>
      <c r="J573" s="2" t="e">
        <v>#N/A</v>
      </c>
      <c r="K573" s="2">
        <v>2.48</v>
      </c>
      <c r="L573" t="s">
        <v>600</v>
      </c>
      <c r="M573" t="e">
        <v>#N/A</v>
      </c>
      <c r="N573">
        <f>2000+RIGHT(Table1[[#This Row],[Release Date]],2)</f>
        <v>2011</v>
      </c>
      <c r="O573">
        <f>_xlfn.MAXIFS(Table1[[#This Row],[Total Shipped]]:Table1[[#This Row],[Total Sales]],Table1[[#This Row],[Total Shipped]]:Table1[[#This Row],[Total Sales]],"&lt;&gt;#N/A")</f>
        <v>2.48</v>
      </c>
      <c r="P573">
        <f>_xlfn.MAXIFS(Table1[[#This Row],[VGChartz Score]:[User Score]],Table1[[#This Row],[VGChartz Score]:[User Score]],"&lt;&gt;#N/A")</f>
        <v>8.3000000000000007</v>
      </c>
    </row>
    <row r="574" spans="1:16" hidden="1" x14ac:dyDescent="0.2">
      <c r="A574">
        <f t="shared" si="11"/>
        <v>573</v>
      </c>
      <c r="B574">
        <v>73</v>
      </c>
      <c r="C574" t="s">
        <v>138</v>
      </c>
      <c r="D574" t="s">
        <v>662</v>
      </c>
      <c r="E574" t="s">
        <v>527</v>
      </c>
      <c r="F574" t="s">
        <v>307</v>
      </c>
      <c r="G574">
        <v>9</v>
      </c>
      <c r="H574">
        <v>9.1999999999999993</v>
      </c>
      <c r="I574" t="e">
        <v>#N/A</v>
      </c>
      <c r="J574" s="1">
        <v>2.42</v>
      </c>
      <c r="K574" s="1" t="e">
        <v>#N/A</v>
      </c>
      <c r="L574" t="s">
        <v>574</v>
      </c>
      <c r="M574" t="e">
        <v>#N/A</v>
      </c>
      <c r="N574">
        <f>2000+RIGHT(Table1[[#This Row],[Release Date]],2)</f>
        <v>2009</v>
      </c>
      <c r="O574">
        <f>_xlfn.MAXIFS(Table1[[#This Row],[Total Shipped]]:Table1[[#This Row],[Total Sales]],Table1[[#This Row],[Total Shipped]]:Table1[[#This Row],[Total Sales]],"&lt;&gt;#N/A")</f>
        <v>2.42</v>
      </c>
      <c r="P574">
        <f>_xlfn.MAXIFS(Table1[[#This Row],[VGChartz Score]:[User Score]],Table1[[#This Row],[VGChartz Score]:[User Score]],"&lt;&gt;#N/A")</f>
        <v>9.1999999999999993</v>
      </c>
    </row>
    <row r="575" spans="1:16" hidden="1" x14ac:dyDescent="0.2">
      <c r="A575">
        <f t="shared" si="11"/>
        <v>574</v>
      </c>
      <c r="B575">
        <v>74</v>
      </c>
      <c r="C575" t="s">
        <v>138</v>
      </c>
      <c r="D575" t="s">
        <v>663</v>
      </c>
      <c r="E575" t="s">
        <v>527</v>
      </c>
      <c r="F575" t="s">
        <v>103</v>
      </c>
      <c r="G575" t="e">
        <v>#N/A</v>
      </c>
      <c r="H575">
        <v>6</v>
      </c>
      <c r="I575" t="e">
        <v>#N/A</v>
      </c>
      <c r="J575" s="2" t="e">
        <v>#N/A</v>
      </c>
      <c r="K575" s="2">
        <v>2.41</v>
      </c>
      <c r="L575" t="s">
        <v>664</v>
      </c>
      <c r="M575" t="e">
        <v>#N/A</v>
      </c>
      <c r="N575">
        <f>2000+RIGHT(Table1[[#This Row],[Release Date]],2)</f>
        <v>2010</v>
      </c>
      <c r="O575">
        <f>_xlfn.MAXIFS(Table1[[#This Row],[Total Shipped]]:Table1[[#This Row],[Total Sales]],Table1[[#This Row],[Total Shipped]]:Table1[[#This Row],[Total Sales]],"&lt;&gt;#N/A")</f>
        <v>2.41</v>
      </c>
      <c r="P575">
        <f>_xlfn.MAXIFS(Table1[[#This Row],[VGChartz Score]:[User Score]],Table1[[#This Row],[VGChartz Score]:[User Score]],"&lt;&gt;#N/A")</f>
        <v>6</v>
      </c>
    </row>
    <row r="576" spans="1:16" hidden="1" x14ac:dyDescent="0.2">
      <c r="A576">
        <f t="shared" si="11"/>
        <v>575</v>
      </c>
      <c r="B576">
        <v>75</v>
      </c>
      <c r="C576" t="s">
        <v>138</v>
      </c>
      <c r="D576" t="s">
        <v>665</v>
      </c>
      <c r="E576" t="s">
        <v>527</v>
      </c>
      <c r="F576" t="s">
        <v>244</v>
      </c>
      <c r="G576">
        <v>8.1999999999999993</v>
      </c>
      <c r="H576">
        <v>8.4</v>
      </c>
      <c r="I576" t="e">
        <v>#N/A</v>
      </c>
      <c r="J576" s="1" t="e">
        <v>#N/A</v>
      </c>
      <c r="K576" s="1">
        <v>2.4</v>
      </c>
      <c r="L576" t="s">
        <v>666</v>
      </c>
      <c r="M576" t="e">
        <v>#N/A</v>
      </c>
      <c r="N576">
        <f>2000+RIGHT(Table1[[#This Row],[Release Date]],2)</f>
        <v>2010</v>
      </c>
      <c r="O576">
        <f>_xlfn.MAXIFS(Table1[[#This Row],[Total Shipped]]:Table1[[#This Row],[Total Sales]],Table1[[#This Row],[Total Shipped]]:Table1[[#This Row],[Total Sales]],"&lt;&gt;#N/A")</f>
        <v>2.4</v>
      </c>
      <c r="P576">
        <f>_xlfn.MAXIFS(Table1[[#This Row],[VGChartz Score]:[User Score]],Table1[[#This Row],[VGChartz Score]:[User Score]],"&lt;&gt;#N/A")</f>
        <v>8.4</v>
      </c>
    </row>
    <row r="577" spans="1:16" hidden="1" x14ac:dyDescent="0.2">
      <c r="A577">
        <f t="shared" si="11"/>
        <v>576</v>
      </c>
      <c r="B577">
        <v>76</v>
      </c>
      <c r="C577" t="s">
        <v>138</v>
      </c>
      <c r="D577" t="s">
        <v>667</v>
      </c>
      <c r="E577" t="s">
        <v>527</v>
      </c>
      <c r="F577" t="s">
        <v>321</v>
      </c>
      <c r="G577">
        <v>8.1999999999999993</v>
      </c>
      <c r="H577" t="e">
        <v>#N/A</v>
      </c>
      <c r="I577" t="e">
        <v>#N/A</v>
      </c>
      <c r="J577" s="2" t="e">
        <v>#N/A</v>
      </c>
      <c r="K577" s="2">
        <v>2.4</v>
      </c>
      <c r="L577" t="s">
        <v>668</v>
      </c>
      <c r="M577" t="s">
        <v>669</v>
      </c>
      <c r="N577">
        <f>2000+RIGHT(Table1[[#This Row],[Release Date]],2)</f>
        <v>2013</v>
      </c>
      <c r="O577">
        <f>_xlfn.MAXIFS(Table1[[#This Row],[Total Shipped]]:Table1[[#This Row],[Total Sales]],Table1[[#This Row],[Total Shipped]]:Table1[[#This Row],[Total Sales]],"&lt;&gt;#N/A")</f>
        <v>2.4</v>
      </c>
      <c r="P577">
        <f>_xlfn.MAXIFS(Table1[[#This Row],[VGChartz Score]:[User Score]],Table1[[#This Row],[VGChartz Score]:[User Score]],"&lt;&gt;#N/A")</f>
        <v>8.1999999999999993</v>
      </c>
    </row>
    <row r="578" spans="1:16" hidden="1" x14ac:dyDescent="0.2">
      <c r="A578">
        <f t="shared" si="11"/>
        <v>577</v>
      </c>
      <c r="B578">
        <v>77</v>
      </c>
      <c r="C578" t="s">
        <v>138</v>
      </c>
      <c r="D578" t="s">
        <v>670</v>
      </c>
      <c r="E578" t="s">
        <v>527</v>
      </c>
      <c r="F578" t="s">
        <v>244</v>
      </c>
      <c r="G578">
        <v>8.6</v>
      </c>
      <c r="H578">
        <v>8.5</v>
      </c>
      <c r="I578" t="e">
        <v>#N/A</v>
      </c>
      <c r="J578" s="1" t="e">
        <v>#N/A</v>
      </c>
      <c r="K578" s="1">
        <v>2.37</v>
      </c>
      <c r="L578" t="s">
        <v>671</v>
      </c>
      <c r="M578" t="e">
        <v>#N/A</v>
      </c>
      <c r="N578">
        <f>2000+RIGHT(Table1[[#This Row],[Release Date]],2)</f>
        <v>2009</v>
      </c>
      <c r="O578">
        <f>_xlfn.MAXIFS(Table1[[#This Row],[Total Shipped]]:Table1[[#This Row],[Total Sales]],Table1[[#This Row],[Total Shipped]]:Table1[[#This Row],[Total Sales]],"&lt;&gt;#N/A")</f>
        <v>2.37</v>
      </c>
      <c r="P578">
        <f>_xlfn.MAXIFS(Table1[[#This Row],[VGChartz Score]:[User Score]],Table1[[#This Row],[VGChartz Score]:[User Score]],"&lt;&gt;#N/A")</f>
        <v>8.6</v>
      </c>
    </row>
    <row r="579" spans="1:16" hidden="1" x14ac:dyDescent="0.2">
      <c r="A579">
        <f t="shared" si="11"/>
        <v>578</v>
      </c>
      <c r="B579">
        <v>78</v>
      </c>
      <c r="C579" t="s">
        <v>138</v>
      </c>
      <c r="D579" t="s">
        <v>672</v>
      </c>
      <c r="E579" t="s">
        <v>527</v>
      </c>
      <c r="F579" t="s">
        <v>240</v>
      </c>
      <c r="G579" t="e">
        <v>#N/A</v>
      </c>
      <c r="H579">
        <v>8.1</v>
      </c>
      <c r="I579" t="e">
        <v>#N/A</v>
      </c>
      <c r="J579" s="2" t="e">
        <v>#N/A</v>
      </c>
      <c r="K579" s="2">
        <v>2.36</v>
      </c>
      <c r="L579" t="s">
        <v>673</v>
      </c>
      <c r="M579" t="e">
        <v>#N/A</v>
      </c>
      <c r="N579">
        <f>2000+RIGHT(Table1[[#This Row],[Release Date]],2)</f>
        <v>2009</v>
      </c>
      <c r="O579">
        <f>_xlfn.MAXIFS(Table1[[#This Row],[Total Shipped]]:Table1[[#This Row],[Total Sales]],Table1[[#This Row],[Total Shipped]]:Table1[[#This Row],[Total Sales]],"&lt;&gt;#N/A")</f>
        <v>2.36</v>
      </c>
      <c r="P579">
        <f>_xlfn.MAXIFS(Table1[[#This Row],[VGChartz Score]:[User Score]],Table1[[#This Row],[VGChartz Score]:[User Score]],"&lt;&gt;#N/A")</f>
        <v>8.1</v>
      </c>
    </row>
    <row r="580" spans="1:16" hidden="1" x14ac:dyDescent="0.2">
      <c r="A580">
        <f t="shared" si="11"/>
        <v>579</v>
      </c>
      <c r="B580">
        <v>79</v>
      </c>
      <c r="C580" t="s">
        <v>138</v>
      </c>
      <c r="D580" t="s">
        <v>674</v>
      </c>
      <c r="E580" t="s">
        <v>527</v>
      </c>
      <c r="F580" t="s">
        <v>675</v>
      </c>
      <c r="G580" t="e">
        <v>#N/A</v>
      </c>
      <c r="H580">
        <v>8</v>
      </c>
      <c r="I580" t="e">
        <v>#N/A</v>
      </c>
      <c r="J580" s="1" t="e">
        <v>#N/A</v>
      </c>
      <c r="K580" s="1">
        <v>2.31</v>
      </c>
      <c r="L580" t="s">
        <v>676</v>
      </c>
      <c r="M580" t="e">
        <v>#N/A</v>
      </c>
      <c r="N580">
        <f>2000+RIGHT(Table1[[#This Row],[Release Date]],2)</f>
        <v>2007</v>
      </c>
      <c r="O580">
        <f>_xlfn.MAXIFS(Table1[[#This Row],[Total Shipped]]:Table1[[#This Row],[Total Sales]],Table1[[#This Row],[Total Shipped]]:Table1[[#This Row],[Total Sales]],"&lt;&gt;#N/A")</f>
        <v>2.31</v>
      </c>
      <c r="P580">
        <f>_xlfn.MAXIFS(Table1[[#This Row],[VGChartz Score]:[User Score]],Table1[[#This Row],[VGChartz Score]:[User Score]],"&lt;&gt;#N/A")</f>
        <v>8</v>
      </c>
    </row>
    <row r="581" spans="1:16" hidden="1" x14ac:dyDescent="0.2">
      <c r="A581">
        <f t="shared" si="11"/>
        <v>580</v>
      </c>
      <c r="B581">
        <v>80</v>
      </c>
      <c r="C581" t="s">
        <v>138</v>
      </c>
      <c r="D581" t="s">
        <v>677</v>
      </c>
      <c r="E581" t="s">
        <v>527</v>
      </c>
      <c r="F581" t="s">
        <v>678</v>
      </c>
      <c r="G581" t="e">
        <v>#N/A</v>
      </c>
      <c r="H581">
        <v>6.7</v>
      </c>
      <c r="I581" t="e">
        <v>#N/A</v>
      </c>
      <c r="J581" s="2" t="e">
        <v>#N/A</v>
      </c>
      <c r="K581" s="2">
        <v>2.29</v>
      </c>
      <c r="L581" t="s">
        <v>679</v>
      </c>
      <c r="M581" t="e">
        <v>#N/A</v>
      </c>
      <c r="N581">
        <f>2000+RIGHT(Table1[[#This Row],[Release Date]],2)</f>
        <v>2011</v>
      </c>
      <c r="O581">
        <f>_xlfn.MAXIFS(Table1[[#This Row],[Total Shipped]]:Table1[[#This Row],[Total Sales]],Table1[[#This Row],[Total Shipped]]:Table1[[#This Row],[Total Sales]],"&lt;&gt;#N/A")</f>
        <v>2.29</v>
      </c>
      <c r="P581">
        <f>_xlfn.MAXIFS(Table1[[#This Row],[VGChartz Score]:[User Score]],Table1[[#This Row],[VGChartz Score]:[User Score]],"&lt;&gt;#N/A")</f>
        <v>6.7</v>
      </c>
    </row>
    <row r="582" spans="1:16" hidden="1" x14ac:dyDescent="0.2">
      <c r="A582">
        <f t="shared" si="11"/>
        <v>581</v>
      </c>
      <c r="B582">
        <v>81</v>
      </c>
      <c r="C582" t="s">
        <v>138</v>
      </c>
      <c r="D582" t="s">
        <v>680</v>
      </c>
      <c r="E582" t="s">
        <v>527</v>
      </c>
      <c r="F582" t="s">
        <v>103</v>
      </c>
      <c r="G582" t="e">
        <v>#N/A</v>
      </c>
      <c r="H582">
        <v>7</v>
      </c>
      <c r="I582" t="e">
        <v>#N/A</v>
      </c>
      <c r="J582" s="1" t="e">
        <v>#N/A</v>
      </c>
      <c r="K582" s="1">
        <v>2.2799999999999998</v>
      </c>
      <c r="L582" t="s">
        <v>681</v>
      </c>
      <c r="M582" t="e">
        <v>#N/A</v>
      </c>
      <c r="N582">
        <f>2000+RIGHT(Table1[[#This Row],[Release Date]],2)</f>
        <v>2009</v>
      </c>
      <c r="O582">
        <f>_xlfn.MAXIFS(Table1[[#This Row],[Total Shipped]]:Table1[[#This Row],[Total Sales]],Table1[[#This Row],[Total Shipped]]:Table1[[#This Row],[Total Sales]],"&lt;&gt;#N/A")</f>
        <v>2.2799999999999998</v>
      </c>
      <c r="P582">
        <f>_xlfn.MAXIFS(Table1[[#This Row],[VGChartz Score]:[User Score]],Table1[[#This Row],[VGChartz Score]:[User Score]],"&lt;&gt;#N/A")</f>
        <v>7</v>
      </c>
    </row>
    <row r="583" spans="1:16" hidden="1" x14ac:dyDescent="0.2">
      <c r="A583">
        <f t="shared" si="11"/>
        <v>582</v>
      </c>
      <c r="B583">
        <v>82</v>
      </c>
      <c r="C583" t="s">
        <v>138</v>
      </c>
      <c r="D583" t="s">
        <v>682</v>
      </c>
      <c r="E583" t="s">
        <v>527</v>
      </c>
      <c r="F583" t="s">
        <v>244</v>
      </c>
      <c r="G583">
        <v>7.9</v>
      </c>
      <c r="H583">
        <v>7.8</v>
      </c>
      <c r="I583" t="e">
        <v>#N/A</v>
      </c>
      <c r="J583" s="2" t="e">
        <v>#N/A</v>
      </c>
      <c r="K583" s="2">
        <v>2.27</v>
      </c>
      <c r="L583" t="s">
        <v>683</v>
      </c>
      <c r="M583" t="e">
        <v>#N/A</v>
      </c>
      <c r="N583">
        <f>2000+RIGHT(Table1[[#This Row],[Release Date]],2)</f>
        <v>2011</v>
      </c>
      <c r="O583">
        <f>_xlfn.MAXIFS(Table1[[#This Row],[Total Shipped]]:Table1[[#This Row],[Total Sales]],Table1[[#This Row],[Total Shipped]]:Table1[[#This Row],[Total Sales]],"&lt;&gt;#N/A")</f>
        <v>2.27</v>
      </c>
      <c r="P583">
        <f>_xlfn.MAXIFS(Table1[[#This Row],[VGChartz Score]:[User Score]],Table1[[#This Row],[VGChartz Score]:[User Score]],"&lt;&gt;#N/A")</f>
        <v>7.9</v>
      </c>
    </row>
    <row r="584" spans="1:16" hidden="1" x14ac:dyDescent="0.2">
      <c r="A584">
        <f t="shared" si="11"/>
        <v>583</v>
      </c>
      <c r="B584">
        <v>83</v>
      </c>
      <c r="C584" t="s">
        <v>138</v>
      </c>
      <c r="D584" t="s">
        <v>684</v>
      </c>
      <c r="E584" t="s">
        <v>527</v>
      </c>
      <c r="F584" t="s">
        <v>484</v>
      </c>
      <c r="G584">
        <v>8.6</v>
      </c>
      <c r="H584" t="e">
        <v>#N/A</v>
      </c>
      <c r="I584" t="e">
        <v>#N/A</v>
      </c>
      <c r="J584" s="1" t="e">
        <v>#N/A</v>
      </c>
      <c r="K584" s="1">
        <v>2.27</v>
      </c>
      <c r="L584" t="s">
        <v>685</v>
      </c>
      <c r="M584" t="e">
        <v>#N/A</v>
      </c>
      <c r="N584">
        <f>2000+RIGHT(Table1[[#This Row],[Release Date]],2)</f>
        <v>2012</v>
      </c>
      <c r="O584">
        <f>_xlfn.MAXIFS(Table1[[#This Row],[Total Shipped]]:Table1[[#This Row],[Total Sales]],Table1[[#This Row],[Total Shipped]]:Table1[[#This Row],[Total Sales]],"&lt;&gt;#N/A")</f>
        <v>2.27</v>
      </c>
      <c r="P584">
        <f>_xlfn.MAXIFS(Table1[[#This Row],[VGChartz Score]:[User Score]],Table1[[#This Row],[VGChartz Score]:[User Score]],"&lt;&gt;#N/A")</f>
        <v>8.6</v>
      </c>
    </row>
    <row r="585" spans="1:16" hidden="1" x14ac:dyDescent="0.2">
      <c r="A585">
        <f t="shared" si="11"/>
        <v>584</v>
      </c>
      <c r="B585">
        <v>84</v>
      </c>
      <c r="C585" t="s">
        <v>138</v>
      </c>
      <c r="D585" t="s">
        <v>686</v>
      </c>
      <c r="E585" t="s">
        <v>527</v>
      </c>
      <c r="F585" t="s">
        <v>687</v>
      </c>
      <c r="G585" t="e">
        <v>#N/A</v>
      </c>
      <c r="H585">
        <v>8.1999999999999993</v>
      </c>
      <c r="I585">
        <v>8</v>
      </c>
      <c r="J585" s="2" t="e">
        <v>#N/A</v>
      </c>
      <c r="K585" s="2">
        <v>2.25</v>
      </c>
      <c r="L585" t="s">
        <v>688</v>
      </c>
      <c r="M585" t="e">
        <v>#N/A</v>
      </c>
      <c r="N585">
        <f>2000+RIGHT(Table1[[#This Row],[Release Date]],2)</f>
        <v>2007</v>
      </c>
      <c r="O585">
        <f>_xlfn.MAXIFS(Table1[[#This Row],[Total Shipped]]:Table1[[#This Row],[Total Sales]],Table1[[#This Row],[Total Shipped]]:Table1[[#This Row],[Total Sales]],"&lt;&gt;#N/A")</f>
        <v>2.25</v>
      </c>
      <c r="P585">
        <f>_xlfn.MAXIFS(Table1[[#This Row],[VGChartz Score]:[User Score]],Table1[[#This Row],[VGChartz Score]:[User Score]],"&lt;&gt;#N/A")</f>
        <v>8.1999999999999993</v>
      </c>
    </row>
    <row r="586" spans="1:16" hidden="1" x14ac:dyDescent="0.2">
      <c r="A586">
        <f t="shared" si="11"/>
        <v>585</v>
      </c>
      <c r="B586">
        <v>85</v>
      </c>
      <c r="C586" t="s">
        <v>138</v>
      </c>
      <c r="D586" t="s">
        <v>689</v>
      </c>
      <c r="E586" t="s">
        <v>527</v>
      </c>
      <c r="F586" t="s">
        <v>675</v>
      </c>
      <c r="G586" t="e">
        <v>#N/A</v>
      </c>
      <c r="H586">
        <v>6.8</v>
      </c>
      <c r="I586" t="e">
        <v>#N/A</v>
      </c>
      <c r="J586" s="1" t="e">
        <v>#N/A</v>
      </c>
      <c r="K586" s="1">
        <v>2.2200000000000002</v>
      </c>
      <c r="L586" t="s">
        <v>690</v>
      </c>
      <c r="M586" t="e">
        <v>#N/A</v>
      </c>
      <c r="N586">
        <f>2000+RIGHT(Table1[[#This Row],[Release Date]],2)</f>
        <v>2008</v>
      </c>
      <c r="O586">
        <f>_xlfn.MAXIFS(Table1[[#This Row],[Total Shipped]]:Table1[[#This Row],[Total Sales]],Table1[[#This Row],[Total Shipped]]:Table1[[#This Row],[Total Sales]],"&lt;&gt;#N/A")</f>
        <v>2.2200000000000002</v>
      </c>
      <c r="P586">
        <f>_xlfn.MAXIFS(Table1[[#This Row],[VGChartz Score]:[User Score]],Table1[[#This Row],[VGChartz Score]:[User Score]],"&lt;&gt;#N/A")</f>
        <v>6.8</v>
      </c>
    </row>
    <row r="587" spans="1:16" hidden="1" x14ac:dyDescent="0.2">
      <c r="A587">
        <f t="shared" si="11"/>
        <v>586</v>
      </c>
      <c r="B587">
        <v>86</v>
      </c>
      <c r="C587" t="s">
        <v>138</v>
      </c>
      <c r="D587" t="s">
        <v>691</v>
      </c>
      <c r="E587" t="s">
        <v>527</v>
      </c>
      <c r="F587" t="s">
        <v>431</v>
      </c>
      <c r="G587" t="e">
        <v>#N/A</v>
      </c>
      <c r="H587" t="e">
        <v>#N/A</v>
      </c>
      <c r="I587" t="e">
        <v>#N/A</v>
      </c>
      <c r="J587" s="2" t="e">
        <v>#N/A</v>
      </c>
      <c r="K587" s="2">
        <v>2.2200000000000002</v>
      </c>
      <c r="L587" t="s">
        <v>692</v>
      </c>
      <c r="M587" t="s">
        <v>693</v>
      </c>
      <c r="N587">
        <f>2000+RIGHT(Table1[[#This Row],[Release Date]],2)</f>
        <v>2013</v>
      </c>
      <c r="O587">
        <f>_xlfn.MAXIFS(Table1[[#This Row],[Total Shipped]]:Table1[[#This Row],[Total Sales]],Table1[[#This Row],[Total Shipped]]:Table1[[#This Row],[Total Sales]],"&lt;&gt;#N/A")</f>
        <v>2.2200000000000002</v>
      </c>
      <c r="P587">
        <f>_xlfn.MAXIFS(Table1[[#This Row],[VGChartz Score]:[User Score]],Table1[[#This Row],[VGChartz Score]:[User Score]],"&lt;&gt;#N/A")</f>
        <v>0</v>
      </c>
    </row>
    <row r="588" spans="1:16" hidden="1" x14ac:dyDescent="0.2">
      <c r="A588">
        <f t="shared" si="11"/>
        <v>587</v>
      </c>
      <c r="B588">
        <v>87</v>
      </c>
      <c r="C588" t="s">
        <v>138</v>
      </c>
      <c r="D588" t="s">
        <v>694</v>
      </c>
      <c r="E588" t="s">
        <v>527</v>
      </c>
      <c r="F588" t="s">
        <v>103</v>
      </c>
      <c r="G588" t="e">
        <v>#N/A</v>
      </c>
      <c r="H588">
        <v>7.5</v>
      </c>
      <c r="I588" t="e">
        <v>#N/A</v>
      </c>
      <c r="J588" s="1" t="e">
        <v>#N/A</v>
      </c>
      <c r="K588" s="1">
        <v>2.19</v>
      </c>
      <c r="L588" t="s">
        <v>560</v>
      </c>
      <c r="M588" t="e">
        <v>#N/A</v>
      </c>
      <c r="N588">
        <f>2000+RIGHT(Table1[[#This Row],[Release Date]],2)</f>
        <v>2011</v>
      </c>
      <c r="O588">
        <f>_xlfn.MAXIFS(Table1[[#This Row],[Total Shipped]]:Table1[[#This Row],[Total Sales]],Table1[[#This Row],[Total Shipped]]:Table1[[#This Row],[Total Sales]],"&lt;&gt;#N/A")</f>
        <v>2.19</v>
      </c>
      <c r="P588">
        <f>_xlfn.MAXIFS(Table1[[#This Row],[VGChartz Score]:[User Score]],Table1[[#This Row],[VGChartz Score]:[User Score]],"&lt;&gt;#N/A")</f>
        <v>7.5</v>
      </c>
    </row>
    <row r="589" spans="1:16" hidden="1" x14ac:dyDescent="0.2">
      <c r="A589">
        <f t="shared" si="11"/>
        <v>588</v>
      </c>
      <c r="B589">
        <v>88</v>
      </c>
      <c r="C589" t="s">
        <v>138</v>
      </c>
      <c r="D589" t="s">
        <v>695</v>
      </c>
      <c r="E589" t="s">
        <v>527</v>
      </c>
      <c r="F589" t="s">
        <v>431</v>
      </c>
      <c r="G589" t="e">
        <v>#N/A</v>
      </c>
      <c r="H589">
        <v>9</v>
      </c>
      <c r="I589" t="e">
        <v>#N/A</v>
      </c>
      <c r="J589" s="2" t="e">
        <v>#N/A</v>
      </c>
      <c r="K589" s="2">
        <v>2.13</v>
      </c>
      <c r="L589" t="s">
        <v>696</v>
      </c>
      <c r="M589" t="e">
        <v>#N/A</v>
      </c>
      <c r="N589">
        <f>2000+RIGHT(Table1[[#This Row],[Release Date]],2)</f>
        <v>2011</v>
      </c>
      <c r="O589">
        <f>_xlfn.MAXIFS(Table1[[#This Row],[Total Shipped]]:Table1[[#This Row],[Total Sales]],Table1[[#This Row],[Total Shipped]]:Table1[[#This Row],[Total Sales]],"&lt;&gt;#N/A")</f>
        <v>2.13</v>
      </c>
      <c r="P589">
        <f>_xlfn.MAXIFS(Table1[[#This Row],[VGChartz Score]:[User Score]],Table1[[#This Row],[VGChartz Score]:[User Score]],"&lt;&gt;#N/A")</f>
        <v>9</v>
      </c>
    </row>
    <row r="590" spans="1:16" hidden="1" x14ac:dyDescent="0.2">
      <c r="A590">
        <f t="shared" si="11"/>
        <v>589</v>
      </c>
      <c r="B590">
        <v>89</v>
      </c>
      <c r="C590" t="s">
        <v>138</v>
      </c>
      <c r="D590" t="s">
        <v>697</v>
      </c>
      <c r="E590" t="s">
        <v>527</v>
      </c>
      <c r="F590" t="s">
        <v>484</v>
      </c>
      <c r="G590">
        <v>8.6</v>
      </c>
      <c r="H590">
        <v>8.1999999999999993</v>
      </c>
      <c r="I590" t="e">
        <v>#N/A</v>
      </c>
      <c r="J590" s="1" t="e">
        <v>#N/A</v>
      </c>
      <c r="K590" s="1">
        <v>2.12</v>
      </c>
      <c r="L590" t="s">
        <v>610</v>
      </c>
      <c r="M590" t="e">
        <v>#N/A</v>
      </c>
      <c r="N590">
        <f>2000+RIGHT(Table1[[#This Row],[Release Date]],2)</f>
        <v>2009</v>
      </c>
      <c r="O590">
        <f>_xlfn.MAXIFS(Table1[[#This Row],[Total Shipped]]:Table1[[#This Row],[Total Sales]],Table1[[#This Row],[Total Shipped]]:Table1[[#This Row],[Total Sales]],"&lt;&gt;#N/A")</f>
        <v>2.12</v>
      </c>
      <c r="P590">
        <f>_xlfn.MAXIFS(Table1[[#This Row],[VGChartz Score]:[User Score]],Table1[[#This Row],[VGChartz Score]:[User Score]],"&lt;&gt;#N/A")</f>
        <v>8.6</v>
      </c>
    </row>
    <row r="591" spans="1:16" hidden="1" x14ac:dyDescent="0.2">
      <c r="A591">
        <f t="shared" si="11"/>
        <v>590</v>
      </c>
      <c r="B591">
        <v>90</v>
      </c>
      <c r="C591" t="s">
        <v>138</v>
      </c>
      <c r="D591" t="s">
        <v>698</v>
      </c>
      <c r="E591" t="s">
        <v>527</v>
      </c>
      <c r="F591" t="s">
        <v>103</v>
      </c>
      <c r="G591" t="e">
        <v>#N/A</v>
      </c>
      <c r="H591">
        <v>7.7</v>
      </c>
      <c r="I591" t="e">
        <v>#N/A</v>
      </c>
      <c r="J591" s="2" t="e">
        <v>#N/A</v>
      </c>
      <c r="K591" s="2">
        <v>2.11</v>
      </c>
      <c r="L591" t="s">
        <v>699</v>
      </c>
      <c r="M591" t="e">
        <v>#N/A</v>
      </c>
      <c r="N591">
        <f>2000+RIGHT(Table1[[#This Row],[Release Date]],2)</f>
        <v>2008</v>
      </c>
      <c r="O591">
        <f>_xlfn.MAXIFS(Table1[[#This Row],[Total Shipped]]:Table1[[#This Row],[Total Sales]],Table1[[#This Row],[Total Shipped]]:Table1[[#This Row],[Total Sales]],"&lt;&gt;#N/A")</f>
        <v>2.11</v>
      </c>
      <c r="P591">
        <f>_xlfn.MAXIFS(Table1[[#This Row],[VGChartz Score]:[User Score]],Table1[[#This Row],[VGChartz Score]:[User Score]],"&lt;&gt;#N/A")</f>
        <v>7.7</v>
      </c>
    </row>
    <row r="592" spans="1:16" hidden="1" x14ac:dyDescent="0.2">
      <c r="A592">
        <f t="shared" si="11"/>
        <v>591</v>
      </c>
      <c r="B592">
        <v>91</v>
      </c>
      <c r="C592" t="s">
        <v>138</v>
      </c>
      <c r="D592" t="s">
        <v>700</v>
      </c>
      <c r="E592" t="s">
        <v>527</v>
      </c>
      <c r="F592" t="s">
        <v>297</v>
      </c>
      <c r="G592" t="e">
        <v>#N/A</v>
      </c>
      <c r="H592">
        <v>9</v>
      </c>
      <c r="I592" t="e">
        <v>#N/A</v>
      </c>
      <c r="J592" s="1" t="e">
        <v>#N/A</v>
      </c>
      <c r="K592" s="1">
        <v>2.09</v>
      </c>
      <c r="L592" t="s">
        <v>701</v>
      </c>
      <c r="M592" t="e">
        <v>#N/A</v>
      </c>
      <c r="N592">
        <f>2000+RIGHT(Table1[[#This Row],[Release Date]],2)</f>
        <v>2010</v>
      </c>
      <c r="O592">
        <f>_xlfn.MAXIFS(Table1[[#This Row],[Total Shipped]]:Table1[[#This Row],[Total Sales]],Table1[[#This Row],[Total Shipped]]:Table1[[#This Row],[Total Sales]],"&lt;&gt;#N/A")</f>
        <v>2.09</v>
      </c>
      <c r="P592">
        <f>_xlfn.MAXIFS(Table1[[#This Row],[VGChartz Score]:[User Score]],Table1[[#This Row],[VGChartz Score]:[User Score]],"&lt;&gt;#N/A")</f>
        <v>9</v>
      </c>
    </row>
    <row r="593" spans="1:16" hidden="1" x14ac:dyDescent="0.2">
      <c r="A593">
        <f t="shared" si="11"/>
        <v>592</v>
      </c>
      <c r="B593">
        <v>92</v>
      </c>
      <c r="C593" t="s">
        <v>138</v>
      </c>
      <c r="D593" t="s">
        <v>702</v>
      </c>
      <c r="E593" t="s">
        <v>527</v>
      </c>
      <c r="F593" t="s">
        <v>254</v>
      </c>
      <c r="G593" t="e">
        <v>#N/A</v>
      </c>
      <c r="H593" t="e">
        <v>#N/A</v>
      </c>
      <c r="I593" t="e">
        <v>#N/A</v>
      </c>
      <c r="J593" s="2" t="e">
        <v>#N/A</v>
      </c>
      <c r="K593" s="2">
        <v>2.06</v>
      </c>
      <c r="L593" t="s">
        <v>703</v>
      </c>
      <c r="M593" t="e">
        <v>#N/A</v>
      </c>
      <c r="N593">
        <f>2000+RIGHT(Table1[[#This Row],[Release Date]],2)</f>
        <v>2012</v>
      </c>
      <c r="O593">
        <f>_xlfn.MAXIFS(Table1[[#This Row],[Total Shipped]]:Table1[[#This Row],[Total Sales]],Table1[[#This Row],[Total Shipped]]:Table1[[#This Row],[Total Sales]],"&lt;&gt;#N/A")</f>
        <v>2.06</v>
      </c>
      <c r="P593">
        <f>_xlfn.MAXIFS(Table1[[#This Row],[VGChartz Score]:[User Score]],Table1[[#This Row],[VGChartz Score]:[User Score]],"&lt;&gt;#N/A")</f>
        <v>0</v>
      </c>
    </row>
    <row r="594" spans="1:16" hidden="1" x14ac:dyDescent="0.2">
      <c r="A594">
        <f t="shared" si="11"/>
        <v>593</v>
      </c>
      <c r="B594">
        <v>93</v>
      </c>
      <c r="C594" t="s">
        <v>138</v>
      </c>
      <c r="D594" t="s">
        <v>704</v>
      </c>
      <c r="E594" t="s">
        <v>527</v>
      </c>
      <c r="F594" t="s">
        <v>324</v>
      </c>
      <c r="G594">
        <v>6</v>
      </c>
      <c r="H594">
        <v>5.9</v>
      </c>
      <c r="I594" t="e">
        <v>#N/A</v>
      </c>
      <c r="J594" s="1" t="e">
        <v>#N/A</v>
      </c>
      <c r="K594" s="1">
        <v>2.06</v>
      </c>
      <c r="L594" t="s">
        <v>705</v>
      </c>
      <c r="M594" t="e">
        <v>#N/A</v>
      </c>
      <c r="N594">
        <f>2000+RIGHT(Table1[[#This Row],[Release Date]],2)</f>
        <v>2008</v>
      </c>
      <c r="O594">
        <f>_xlfn.MAXIFS(Table1[[#This Row],[Total Shipped]]:Table1[[#This Row],[Total Sales]],Table1[[#This Row],[Total Shipped]]:Table1[[#This Row],[Total Sales]],"&lt;&gt;#N/A")</f>
        <v>2.06</v>
      </c>
      <c r="P594">
        <f>_xlfn.MAXIFS(Table1[[#This Row],[VGChartz Score]:[User Score]],Table1[[#This Row],[VGChartz Score]:[User Score]],"&lt;&gt;#N/A")</f>
        <v>6</v>
      </c>
    </row>
    <row r="595" spans="1:16" hidden="1" x14ac:dyDescent="0.2">
      <c r="A595">
        <f t="shared" si="11"/>
        <v>594</v>
      </c>
      <c r="B595">
        <v>94</v>
      </c>
      <c r="C595" t="s">
        <v>138</v>
      </c>
      <c r="D595" t="s">
        <v>706</v>
      </c>
      <c r="E595" t="s">
        <v>527</v>
      </c>
      <c r="F595" t="s">
        <v>707</v>
      </c>
      <c r="G595" t="e">
        <v>#N/A</v>
      </c>
      <c r="H595">
        <v>7.6</v>
      </c>
      <c r="I595" t="e">
        <v>#N/A</v>
      </c>
      <c r="J595" s="2" t="e">
        <v>#N/A</v>
      </c>
      <c r="K595" s="2">
        <v>2.0499999999999998</v>
      </c>
      <c r="L595" t="s">
        <v>708</v>
      </c>
      <c r="M595" t="e">
        <v>#N/A</v>
      </c>
      <c r="N595">
        <f>2000+RIGHT(Table1[[#This Row],[Release Date]],2)</f>
        <v>2008</v>
      </c>
      <c r="O595">
        <f>_xlfn.MAXIFS(Table1[[#This Row],[Total Shipped]]:Table1[[#This Row],[Total Sales]],Table1[[#This Row],[Total Shipped]]:Table1[[#This Row],[Total Sales]],"&lt;&gt;#N/A")</f>
        <v>2.0499999999999998</v>
      </c>
      <c r="P595">
        <f>_xlfn.MAXIFS(Table1[[#This Row],[VGChartz Score]:[User Score]],Table1[[#This Row],[VGChartz Score]:[User Score]],"&lt;&gt;#N/A")</f>
        <v>7.6</v>
      </c>
    </row>
    <row r="596" spans="1:16" hidden="1" x14ac:dyDescent="0.2">
      <c r="A596">
        <f t="shared" si="11"/>
        <v>595</v>
      </c>
      <c r="B596">
        <v>95</v>
      </c>
      <c r="C596" t="s">
        <v>138</v>
      </c>
      <c r="D596" t="s">
        <v>709</v>
      </c>
      <c r="E596" t="s">
        <v>527</v>
      </c>
      <c r="F596" t="s">
        <v>621</v>
      </c>
      <c r="G596">
        <v>9</v>
      </c>
      <c r="H596">
        <v>9</v>
      </c>
      <c r="I596" t="e">
        <v>#N/A</v>
      </c>
      <c r="J596" s="1" t="e">
        <v>#N/A</v>
      </c>
      <c r="K596" s="1">
        <v>2.0499999999999998</v>
      </c>
      <c r="L596" t="s">
        <v>696</v>
      </c>
      <c r="M596" t="e">
        <v>#N/A</v>
      </c>
      <c r="N596">
        <f>2000+RIGHT(Table1[[#This Row],[Release Date]],2)</f>
        <v>2011</v>
      </c>
      <c r="O596">
        <f>_xlfn.MAXIFS(Table1[[#This Row],[Total Shipped]]:Table1[[#This Row],[Total Sales]],Table1[[#This Row],[Total Shipped]]:Table1[[#This Row],[Total Sales]],"&lt;&gt;#N/A")</f>
        <v>2.0499999999999998</v>
      </c>
      <c r="P596">
        <f>_xlfn.MAXIFS(Table1[[#This Row],[VGChartz Score]:[User Score]],Table1[[#This Row],[VGChartz Score]:[User Score]],"&lt;&gt;#N/A")</f>
        <v>9</v>
      </c>
    </row>
    <row r="597" spans="1:16" hidden="1" x14ac:dyDescent="0.2">
      <c r="A597">
        <f t="shared" si="11"/>
        <v>596</v>
      </c>
      <c r="B597">
        <v>96</v>
      </c>
      <c r="C597" t="s">
        <v>138</v>
      </c>
      <c r="D597" t="s">
        <v>710</v>
      </c>
      <c r="E597" t="s">
        <v>527</v>
      </c>
      <c r="F597" t="s">
        <v>324</v>
      </c>
      <c r="G597" t="e">
        <v>#N/A</v>
      </c>
      <c r="H597">
        <v>7.2</v>
      </c>
      <c r="I597" t="e">
        <v>#N/A</v>
      </c>
      <c r="J597" s="2" t="e">
        <v>#N/A</v>
      </c>
      <c r="K597" s="2">
        <v>2.04</v>
      </c>
      <c r="L597" t="s">
        <v>593</v>
      </c>
      <c r="M597" t="e">
        <v>#N/A</v>
      </c>
      <c r="N597">
        <f>2000+RIGHT(Table1[[#This Row],[Release Date]],2)</f>
        <v>2007</v>
      </c>
      <c r="O597">
        <f>_xlfn.MAXIFS(Table1[[#This Row],[Total Shipped]]:Table1[[#This Row],[Total Sales]],Table1[[#This Row],[Total Shipped]]:Table1[[#This Row],[Total Sales]],"&lt;&gt;#N/A")</f>
        <v>2.04</v>
      </c>
      <c r="P597">
        <f>_xlfn.MAXIFS(Table1[[#This Row],[VGChartz Score]:[User Score]],Table1[[#This Row],[VGChartz Score]:[User Score]],"&lt;&gt;#N/A")</f>
        <v>7.2</v>
      </c>
    </row>
    <row r="598" spans="1:16" hidden="1" x14ac:dyDescent="0.2">
      <c r="A598">
        <f t="shared" si="11"/>
        <v>597</v>
      </c>
      <c r="B598">
        <v>97</v>
      </c>
      <c r="C598" t="s">
        <v>138</v>
      </c>
      <c r="D598" t="s">
        <v>711</v>
      </c>
      <c r="E598" t="s">
        <v>527</v>
      </c>
      <c r="F598" t="s">
        <v>324</v>
      </c>
      <c r="G598" t="e">
        <v>#N/A</v>
      </c>
      <c r="H598">
        <v>7.5</v>
      </c>
      <c r="I598" t="e">
        <v>#N/A</v>
      </c>
      <c r="J598" s="1" t="e">
        <v>#N/A</v>
      </c>
      <c r="K598" s="1">
        <v>2.04</v>
      </c>
      <c r="L598" t="s">
        <v>712</v>
      </c>
      <c r="M598" t="s">
        <v>634</v>
      </c>
      <c r="N598">
        <f>2000+RIGHT(Table1[[#This Row],[Release Date]],2)</f>
        <v>2013</v>
      </c>
      <c r="O598">
        <f>_xlfn.MAXIFS(Table1[[#This Row],[Total Shipped]]:Table1[[#This Row],[Total Sales]],Table1[[#This Row],[Total Shipped]]:Table1[[#This Row],[Total Sales]],"&lt;&gt;#N/A")</f>
        <v>2.04</v>
      </c>
      <c r="P598">
        <f>_xlfn.MAXIFS(Table1[[#This Row],[VGChartz Score]:[User Score]],Table1[[#This Row],[VGChartz Score]:[User Score]],"&lt;&gt;#N/A")</f>
        <v>7.5</v>
      </c>
    </row>
    <row r="599" spans="1:16" hidden="1" x14ac:dyDescent="0.2">
      <c r="A599">
        <f t="shared" si="11"/>
        <v>598</v>
      </c>
      <c r="B599">
        <v>98</v>
      </c>
      <c r="C599" t="s">
        <v>138</v>
      </c>
      <c r="D599" t="s">
        <v>713</v>
      </c>
      <c r="E599" t="s">
        <v>527</v>
      </c>
      <c r="F599" t="s">
        <v>244</v>
      </c>
      <c r="G599">
        <v>7.7</v>
      </c>
      <c r="H599" t="e">
        <v>#N/A</v>
      </c>
      <c r="I599" t="e">
        <v>#N/A</v>
      </c>
      <c r="J599" s="2" t="e">
        <v>#N/A</v>
      </c>
      <c r="K599" s="2">
        <v>2.0299999999999998</v>
      </c>
      <c r="L599" t="s">
        <v>714</v>
      </c>
      <c r="M599" t="e">
        <v>#N/A</v>
      </c>
      <c r="N599">
        <f>2000+RIGHT(Table1[[#This Row],[Release Date]],2)</f>
        <v>2010</v>
      </c>
      <c r="O599">
        <f>_xlfn.MAXIFS(Table1[[#This Row],[Total Shipped]]:Table1[[#This Row],[Total Sales]],Table1[[#This Row],[Total Shipped]]:Table1[[#This Row],[Total Sales]],"&lt;&gt;#N/A")</f>
        <v>2.0299999999999998</v>
      </c>
      <c r="P599">
        <f>_xlfn.MAXIFS(Table1[[#This Row],[VGChartz Score]:[User Score]],Table1[[#This Row],[VGChartz Score]:[User Score]],"&lt;&gt;#N/A")</f>
        <v>7.7</v>
      </c>
    </row>
    <row r="600" spans="1:16" hidden="1" x14ac:dyDescent="0.2">
      <c r="A600">
        <f t="shared" si="11"/>
        <v>599</v>
      </c>
      <c r="B600">
        <v>99</v>
      </c>
      <c r="C600" t="s">
        <v>138</v>
      </c>
      <c r="D600" t="s">
        <v>715</v>
      </c>
      <c r="E600" t="s">
        <v>527</v>
      </c>
      <c r="F600" t="s">
        <v>324</v>
      </c>
      <c r="G600" t="e">
        <v>#N/A</v>
      </c>
      <c r="H600">
        <v>8.1</v>
      </c>
      <c r="I600" t="e">
        <v>#N/A</v>
      </c>
      <c r="J600" s="1" t="e">
        <v>#N/A</v>
      </c>
      <c r="K600" s="1">
        <v>2.0299999999999998</v>
      </c>
      <c r="L600" t="s">
        <v>716</v>
      </c>
      <c r="M600" t="e">
        <v>#N/A</v>
      </c>
      <c r="N600">
        <f>2000+RIGHT(Table1[[#This Row],[Release Date]],2)</f>
        <v>2010</v>
      </c>
      <c r="O600">
        <f>_xlfn.MAXIFS(Table1[[#This Row],[Total Shipped]]:Table1[[#This Row],[Total Sales]],Table1[[#This Row],[Total Shipped]]:Table1[[#This Row],[Total Sales]],"&lt;&gt;#N/A")</f>
        <v>2.0299999999999998</v>
      </c>
      <c r="P600">
        <f>_xlfn.MAXIFS(Table1[[#This Row],[VGChartz Score]:[User Score]],Table1[[#This Row],[VGChartz Score]:[User Score]],"&lt;&gt;#N/A")</f>
        <v>8.1</v>
      </c>
    </row>
    <row r="601" spans="1:16" hidden="1" x14ac:dyDescent="0.2">
      <c r="A601">
        <f t="shared" si="11"/>
        <v>600</v>
      </c>
      <c r="B601">
        <v>100</v>
      </c>
      <c r="C601" t="s">
        <v>138</v>
      </c>
      <c r="D601" t="s">
        <v>717</v>
      </c>
      <c r="E601" t="s">
        <v>527</v>
      </c>
      <c r="F601" t="s">
        <v>324</v>
      </c>
      <c r="G601" t="e">
        <v>#N/A</v>
      </c>
      <c r="H601">
        <v>6.3</v>
      </c>
      <c r="I601" t="e">
        <v>#N/A</v>
      </c>
      <c r="J601" s="2" t="e">
        <v>#N/A</v>
      </c>
      <c r="K601" s="2">
        <v>2.0099999999999998</v>
      </c>
      <c r="L601" t="s">
        <v>600</v>
      </c>
      <c r="M601" t="e">
        <v>#N/A</v>
      </c>
      <c r="N601">
        <f>2000+RIGHT(Table1[[#This Row],[Release Date]],2)</f>
        <v>2011</v>
      </c>
      <c r="O601">
        <f>_xlfn.MAXIFS(Table1[[#This Row],[Total Shipped]]:Table1[[#This Row],[Total Sales]],Table1[[#This Row],[Total Shipped]]:Table1[[#This Row],[Total Sales]],"&lt;&gt;#N/A")</f>
        <v>2.0099999999999998</v>
      </c>
      <c r="P601">
        <f>_xlfn.MAXIFS(Table1[[#This Row],[VGChartz Score]:[User Score]],Table1[[#This Row],[VGChartz Score]:[User Score]],"&lt;&gt;#N/A")</f>
        <v>6.3</v>
      </c>
    </row>
    <row r="602" spans="1:16" hidden="1" x14ac:dyDescent="0.2">
      <c r="A602">
        <f t="shared" si="11"/>
        <v>601</v>
      </c>
      <c r="B602">
        <v>1</v>
      </c>
      <c r="C602" t="s">
        <v>138</v>
      </c>
      <c r="D602" t="s">
        <v>289</v>
      </c>
      <c r="E602" t="s">
        <v>290</v>
      </c>
      <c r="F602" t="s">
        <v>291</v>
      </c>
      <c r="G602">
        <v>8</v>
      </c>
      <c r="H602">
        <v>9.1</v>
      </c>
      <c r="I602" t="e">
        <v>#N/A</v>
      </c>
      <c r="J602" s="1">
        <v>22.69</v>
      </c>
      <c r="K602" s="1" t="e">
        <v>#N/A</v>
      </c>
      <c r="L602" t="s">
        <v>292</v>
      </c>
      <c r="M602" t="s">
        <v>293</v>
      </c>
      <c r="N602">
        <f>2000+RIGHT(Table1[[#This Row],[Release Date]],2)</f>
        <v>2018</v>
      </c>
      <c r="O602">
        <f>_xlfn.MAXIFS(Table1[[#This Row],[Total Shipped]]:Table1[[#This Row],[Total Sales]],Table1[[#This Row],[Total Shipped]]:Table1[[#This Row],[Total Sales]],"&lt;&gt;#N/A")</f>
        <v>22.69</v>
      </c>
      <c r="P602">
        <f>_xlfn.MAXIFS(Table1[[#This Row],[VGChartz Score]:[User Score]],Table1[[#This Row],[VGChartz Score]:[User Score]],"&lt;&gt;#N/A")</f>
        <v>9.1</v>
      </c>
    </row>
    <row r="603" spans="1:16" hidden="1" x14ac:dyDescent="0.2">
      <c r="A603">
        <f t="shared" si="11"/>
        <v>602</v>
      </c>
      <c r="B603">
        <v>2</v>
      </c>
      <c r="C603" t="s">
        <v>138</v>
      </c>
      <c r="D603" t="s">
        <v>294</v>
      </c>
      <c r="E603" t="s">
        <v>290</v>
      </c>
      <c r="F603" t="s">
        <v>291</v>
      </c>
      <c r="G603">
        <v>9</v>
      </c>
      <c r="H603">
        <v>9.6999999999999993</v>
      </c>
      <c r="I603">
        <v>10</v>
      </c>
      <c r="J603" s="2">
        <v>21.02</v>
      </c>
      <c r="K603" s="2" t="e">
        <v>#N/A</v>
      </c>
      <c r="L603" t="s">
        <v>195</v>
      </c>
      <c r="M603" t="s">
        <v>295</v>
      </c>
      <c r="N603">
        <f>2000+RIGHT(Table1[[#This Row],[Release Date]],2)</f>
        <v>2018</v>
      </c>
      <c r="O603">
        <f>_xlfn.MAXIFS(Table1[[#This Row],[Total Shipped]]:Table1[[#This Row],[Total Sales]],Table1[[#This Row],[Total Shipped]]:Table1[[#This Row],[Total Sales]],"&lt;&gt;#N/A")</f>
        <v>21.02</v>
      </c>
      <c r="P603">
        <f>_xlfn.MAXIFS(Table1[[#This Row],[VGChartz Score]:[User Score]],Table1[[#This Row],[VGChartz Score]:[User Score]],"&lt;&gt;#N/A")</f>
        <v>10</v>
      </c>
    </row>
    <row r="604" spans="1:16" hidden="1" x14ac:dyDescent="0.2">
      <c r="A604">
        <f t="shared" ref="A604:A649" si="12">ROW()-1</f>
        <v>603</v>
      </c>
      <c r="B604">
        <v>3</v>
      </c>
      <c r="C604" t="s">
        <v>138</v>
      </c>
      <c r="D604" t="s">
        <v>296</v>
      </c>
      <c r="E604" t="s">
        <v>290</v>
      </c>
      <c r="F604" t="s">
        <v>297</v>
      </c>
      <c r="G604" t="e">
        <v>#N/A</v>
      </c>
      <c r="H604">
        <v>9.6999999999999993</v>
      </c>
      <c r="I604" t="e">
        <v>#N/A</v>
      </c>
      <c r="J604" s="1" t="e">
        <v>#N/A</v>
      </c>
      <c r="K604" s="1">
        <v>19.39</v>
      </c>
      <c r="L604" t="s">
        <v>298</v>
      </c>
      <c r="M604" t="s">
        <v>299</v>
      </c>
      <c r="N604">
        <f>2000+RIGHT(Table1[[#This Row],[Release Date]],2)</f>
        <v>2014</v>
      </c>
      <c r="O604">
        <f>_xlfn.MAXIFS(Table1[[#This Row],[Total Shipped]]:Table1[[#This Row],[Total Sales]],Table1[[#This Row],[Total Shipped]]:Table1[[#This Row],[Total Sales]],"&lt;&gt;#N/A")</f>
        <v>19.39</v>
      </c>
      <c r="P604">
        <f>_xlfn.MAXIFS(Table1[[#This Row],[VGChartz Score]:[User Score]],Table1[[#This Row],[VGChartz Score]:[User Score]],"&lt;&gt;#N/A")</f>
        <v>9.6999999999999993</v>
      </c>
    </row>
    <row r="605" spans="1:16" hidden="1" x14ac:dyDescent="0.2">
      <c r="A605">
        <f t="shared" si="12"/>
        <v>604</v>
      </c>
      <c r="B605">
        <v>4</v>
      </c>
      <c r="C605" t="s">
        <v>138</v>
      </c>
      <c r="D605" t="s">
        <v>300</v>
      </c>
      <c r="E605" t="s">
        <v>290</v>
      </c>
      <c r="F605" t="s">
        <v>291</v>
      </c>
      <c r="G605" t="e">
        <v>#N/A</v>
      </c>
      <c r="H605">
        <v>9.1</v>
      </c>
      <c r="I605">
        <v>8</v>
      </c>
      <c r="J605" s="2">
        <v>19.3</v>
      </c>
      <c r="K605" s="2" t="e">
        <v>#N/A</v>
      </c>
      <c r="L605" t="s">
        <v>301</v>
      </c>
      <c r="M605" t="s">
        <v>302</v>
      </c>
      <c r="N605">
        <f>2000+RIGHT(Table1[[#This Row],[Release Date]],2)</f>
        <v>2017</v>
      </c>
      <c r="O605">
        <f>_xlfn.MAXIFS(Table1[[#This Row],[Total Shipped]]:Table1[[#This Row],[Total Sales]],Table1[[#This Row],[Total Shipped]]:Table1[[#This Row],[Total Sales]],"&lt;&gt;#N/A")</f>
        <v>19.3</v>
      </c>
      <c r="P605">
        <f>_xlfn.MAXIFS(Table1[[#This Row],[VGChartz Score]:[User Score]],Table1[[#This Row],[VGChartz Score]:[User Score]],"&lt;&gt;#N/A")</f>
        <v>9.1</v>
      </c>
    </row>
    <row r="606" spans="1:16" hidden="1" x14ac:dyDescent="0.2">
      <c r="A606">
        <f t="shared" si="12"/>
        <v>605</v>
      </c>
      <c r="B606">
        <v>5</v>
      </c>
      <c r="C606" t="s">
        <v>138</v>
      </c>
      <c r="D606" t="s">
        <v>303</v>
      </c>
      <c r="E606" t="s">
        <v>290</v>
      </c>
      <c r="F606" t="s">
        <v>291</v>
      </c>
      <c r="G606" t="e">
        <v>#N/A</v>
      </c>
      <c r="H606">
        <v>9.1999999999999993</v>
      </c>
      <c r="I606" t="e">
        <v>#N/A</v>
      </c>
      <c r="J606" s="1">
        <v>18.649999999999999</v>
      </c>
      <c r="K606" s="1" t="e">
        <v>#N/A</v>
      </c>
      <c r="L606" t="s">
        <v>304</v>
      </c>
      <c r="M606" t="s">
        <v>305</v>
      </c>
      <c r="N606">
        <f>2000+RIGHT(Table1[[#This Row],[Release Date]],2)</f>
        <v>2016</v>
      </c>
      <c r="O606">
        <f>_xlfn.MAXIFS(Table1[[#This Row],[Total Shipped]]:Table1[[#This Row],[Total Sales]],Table1[[#This Row],[Total Shipped]]:Table1[[#This Row],[Total Sales]],"&lt;&gt;#N/A")</f>
        <v>18.649999999999999</v>
      </c>
      <c r="P606">
        <f>_xlfn.MAXIFS(Table1[[#This Row],[VGChartz Score]:[User Score]],Table1[[#This Row],[VGChartz Score]:[User Score]],"&lt;&gt;#N/A")</f>
        <v>9.1999999999999993</v>
      </c>
    </row>
    <row r="607" spans="1:16" hidden="1" x14ac:dyDescent="0.2">
      <c r="A607">
        <f t="shared" si="12"/>
        <v>606</v>
      </c>
      <c r="B607">
        <v>6</v>
      </c>
      <c r="C607" t="s">
        <v>138</v>
      </c>
      <c r="D607" t="s">
        <v>306</v>
      </c>
      <c r="E607" t="s">
        <v>290</v>
      </c>
      <c r="F607" t="s">
        <v>307</v>
      </c>
      <c r="G607" t="e">
        <v>#N/A</v>
      </c>
      <c r="H607">
        <v>9.5</v>
      </c>
      <c r="I607" t="e">
        <v>#N/A</v>
      </c>
      <c r="J607" s="2">
        <v>18.63</v>
      </c>
      <c r="K607" s="2" t="e">
        <v>#N/A</v>
      </c>
      <c r="L607" t="s">
        <v>308</v>
      </c>
      <c r="M607" t="s">
        <v>309</v>
      </c>
      <c r="N607">
        <f>2000+RIGHT(Table1[[#This Row],[Release Date]],2)</f>
        <v>2014</v>
      </c>
      <c r="O607">
        <f>_xlfn.MAXIFS(Table1[[#This Row],[Total Shipped]]:Table1[[#This Row],[Total Sales]],Table1[[#This Row],[Total Shipped]]:Table1[[#This Row],[Total Sales]],"&lt;&gt;#N/A")</f>
        <v>18.63</v>
      </c>
      <c r="P607">
        <f>_xlfn.MAXIFS(Table1[[#This Row],[VGChartz Score]:[User Score]],Table1[[#This Row],[VGChartz Score]:[User Score]],"&lt;&gt;#N/A")</f>
        <v>9.5</v>
      </c>
    </row>
    <row r="608" spans="1:16" hidden="1" x14ac:dyDescent="0.2">
      <c r="A608">
        <f t="shared" si="12"/>
        <v>607</v>
      </c>
      <c r="B608">
        <v>7</v>
      </c>
      <c r="C608" t="s">
        <v>138</v>
      </c>
      <c r="D608" t="s">
        <v>310</v>
      </c>
      <c r="E608" t="s">
        <v>290</v>
      </c>
      <c r="F608" t="s">
        <v>233</v>
      </c>
      <c r="G608" t="e">
        <v>#N/A</v>
      </c>
      <c r="H608">
        <v>8.1</v>
      </c>
      <c r="I608" t="e">
        <v>#N/A</v>
      </c>
      <c r="J608" s="1" t="e">
        <v>#N/A</v>
      </c>
      <c r="K608" s="1">
        <v>15.09</v>
      </c>
      <c r="L608" t="s">
        <v>311</v>
      </c>
      <c r="M608" t="s">
        <v>312</v>
      </c>
      <c r="N608">
        <f>2000+RIGHT(Table1[[#This Row],[Release Date]],2)</f>
        <v>2015</v>
      </c>
      <c r="O608">
        <f>_xlfn.MAXIFS(Table1[[#This Row],[Total Shipped]]:Table1[[#This Row],[Total Sales]],Table1[[#This Row],[Total Shipped]]:Table1[[#This Row],[Total Sales]],"&lt;&gt;#N/A")</f>
        <v>15.09</v>
      </c>
      <c r="P608">
        <f>_xlfn.MAXIFS(Table1[[#This Row],[VGChartz Score]:[User Score]],Table1[[#This Row],[VGChartz Score]:[User Score]],"&lt;&gt;#N/A")</f>
        <v>8.1</v>
      </c>
    </row>
    <row r="609" spans="1:16" hidden="1" x14ac:dyDescent="0.2">
      <c r="A609">
        <f t="shared" si="12"/>
        <v>608</v>
      </c>
      <c r="B609">
        <v>8</v>
      </c>
      <c r="C609" t="s">
        <v>138</v>
      </c>
      <c r="D609" t="s">
        <v>313</v>
      </c>
      <c r="E609" t="s">
        <v>290</v>
      </c>
      <c r="F609" t="s">
        <v>297</v>
      </c>
      <c r="G609">
        <v>8</v>
      </c>
      <c r="H609">
        <v>9.8000000000000007</v>
      </c>
      <c r="I609" t="e">
        <v>#N/A</v>
      </c>
      <c r="J609" s="2" t="e">
        <v>#N/A</v>
      </c>
      <c r="K609" s="2">
        <v>13.94</v>
      </c>
      <c r="L609" t="s">
        <v>314</v>
      </c>
      <c r="M609" t="s">
        <v>145</v>
      </c>
      <c r="N609">
        <f>2000+RIGHT(Table1[[#This Row],[Release Date]],2)</f>
        <v>2018</v>
      </c>
      <c r="O609">
        <f>_xlfn.MAXIFS(Table1[[#This Row],[Total Shipped]]:Table1[[#This Row],[Total Sales]],Table1[[#This Row],[Total Shipped]]:Table1[[#This Row],[Total Sales]],"&lt;&gt;#N/A")</f>
        <v>13.94</v>
      </c>
      <c r="P609">
        <f>_xlfn.MAXIFS(Table1[[#This Row],[VGChartz Score]:[User Score]],Table1[[#This Row],[VGChartz Score]:[User Score]],"&lt;&gt;#N/A")</f>
        <v>9.8000000000000007</v>
      </c>
    </row>
    <row r="610" spans="1:16" hidden="1" x14ac:dyDescent="0.2">
      <c r="A610">
        <f t="shared" si="12"/>
        <v>609</v>
      </c>
      <c r="B610">
        <v>9</v>
      </c>
      <c r="C610" t="s">
        <v>138</v>
      </c>
      <c r="D610" t="s">
        <v>315</v>
      </c>
      <c r="E610" t="s">
        <v>290</v>
      </c>
      <c r="F610" t="s">
        <v>233</v>
      </c>
      <c r="G610" t="e">
        <v>#N/A</v>
      </c>
      <c r="H610">
        <v>8.1</v>
      </c>
      <c r="I610" t="e">
        <v>#N/A</v>
      </c>
      <c r="J610" s="1" t="e">
        <v>#N/A</v>
      </c>
      <c r="K610" s="1">
        <v>13.4</v>
      </c>
      <c r="L610" t="s">
        <v>316</v>
      </c>
      <c r="M610" t="s">
        <v>252</v>
      </c>
      <c r="N610">
        <f>2000+RIGHT(Table1[[#This Row],[Release Date]],2)</f>
        <v>2017</v>
      </c>
      <c r="O610">
        <f>_xlfn.MAXIFS(Table1[[#This Row],[Total Shipped]]:Table1[[#This Row],[Total Sales]],Table1[[#This Row],[Total Shipped]]:Table1[[#This Row],[Total Sales]],"&lt;&gt;#N/A")</f>
        <v>13.4</v>
      </c>
      <c r="P610">
        <f>_xlfn.MAXIFS(Table1[[#This Row],[VGChartz Score]:[User Score]],Table1[[#This Row],[VGChartz Score]:[User Score]],"&lt;&gt;#N/A")</f>
        <v>8.1</v>
      </c>
    </row>
    <row r="611" spans="1:16" hidden="1" x14ac:dyDescent="0.2">
      <c r="A611">
        <f t="shared" si="12"/>
        <v>610</v>
      </c>
      <c r="B611">
        <v>10</v>
      </c>
      <c r="C611" t="s">
        <v>138</v>
      </c>
      <c r="D611" t="s">
        <v>317</v>
      </c>
      <c r="E611" t="s">
        <v>290</v>
      </c>
      <c r="F611" t="s">
        <v>291</v>
      </c>
      <c r="G611" t="e">
        <v>#N/A</v>
      </c>
      <c r="H611" t="e">
        <v>#N/A</v>
      </c>
      <c r="I611" t="e">
        <v>#N/A</v>
      </c>
      <c r="J611" s="2">
        <v>12.98</v>
      </c>
      <c r="K611" s="2" t="e">
        <v>#N/A</v>
      </c>
      <c r="L611" t="s">
        <v>318</v>
      </c>
      <c r="M611" t="s">
        <v>319</v>
      </c>
      <c r="N611">
        <f>2000+RIGHT(Table1[[#This Row],[Release Date]],2)</f>
        <v>2017</v>
      </c>
      <c r="O611">
        <f>_xlfn.MAXIFS(Table1[[#This Row],[Total Shipped]]:Table1[[#This Row],[Total Sales]],Table1[[#This Row],[Total Shipped]]:Table1[[#This Row],[Total Sales]],"&lt;&gt;#N/A")</f>
        <v>12.98</v>
      </c>
      <c r="P611">
        <f>_xlfn.MAXIFS(Table1[[#This Row],[VGChartz Score]:[User Score]],Table1[[#This Row],[VGChartz Score]:[User Score]],"&lt;&gt;#N/A")</f>
        <v>0</v>
      </c>
    </row>
    <row r="612" spans="1:16" hidden="1" x14ac:dyDescent="0.2">
      <c r="A612">
        <f t="shared" si="12"/>
        <v>611</v>
      </c>
      <c r="B612">
        <v>11</v>
      </c>
      <c r="C612" t="s">
        <v>138</v>
      </c>
      <c r="D612" t="s">
        <v>320</v>
      </c>
      <c r="E612" t="s">
        <v>290</v>
      </c>
      <c r="F612" t="s">
        <v>321</v>
      </c>
      <c r="G612" t="e">
        <v>#N/A</v>
      </c>
      <c r="H612" t="e">
        <v>#N/A</v>
      </c>
      <c r="I612" t="e">
        <v>#N/A</v>
      </c>
      <c r="J612" s="1">
        <v>12.4</v>
      </c>
      <c r="K612" s="1" t="e">
        <v>#N/A</v>
      </c>
      <c r="L612" t="s">
        <v>322</v>
      </c>
      <c r="M612" t="s">
        <v>85</v>
      </c>
      <c r="N612">
        <f>2000+RIGHT(Table1[[#This Row],[Release Date]],2)</f>
        <v>2015</v>
      </c>
      <c r="O612">
        <f>_xlfn.MAXIFS(Table1[[#This Row],[Total Shipped]]:Table1[[#This Row],[Total Sales]],Table1[[#This Row],[Total Shipped]]:Table1[[#This Row],[Total Sales]],"&lt;&gt;#N/A")</f>
        <v>12.4</v>
      </c>
      <c r="P612">
        <f>_xlfn.MAXIFS(Table1[[#This Row],[VGChartz Score]:[User Score]],Table1[[#This Row],[VGChartz Score]:[User Score]],"&lt;&gt;#N/A")</f>
        <v>0</v>
      </c>
    </row>
    <row r="613" spans="1:16" hidden="1" x14ac:dyDescent="0.2">
      <c r="A613">
        <f t="shared" si="12"/>
        <v>612</v>
      </c>
      <c r="B613">
        <v>12</v>
      </c>
      <c r="C613" t="s">
        <v>138</v>
      </c>
      <c r="D613" t="s">
        <v>243</v>
      </c>
      <c r="E613" t="s">
        <v>290</v>
      </c>
      <c r="F613" t="s">
        <v>244</v>
      </c>
      <c r="G613" t="e">
        <v>#N/A</v>
      </c>
      <c r="H613">
        <v>8.3000000000000007</v>
      </c>
      <c r="I613" t="e">
        <v>#N/A</v>
      </c>
      <c r="J613" s="2" t="e">
        <v>#N/A</v>
      </c>
      <c r="K613" s="2">
        <v>11.8</v>
      </c>
      <c r="L613" t="s">
        <v>245</v>
      </c>
      <c r="M613" t="s">
        <v>246</v>
      </c>
      <c r="N613">
        <f>2000+RIGHT(Table1[[#This Row],[Release Date]],2)</f>
        <v>2017</v>
      </c>
      <c r="O613">
        <f>_xlfn.MAXIFS(Table1[[#This Row],[Total Shipped]]:Table1[[#This Row],[Total Sales]],Table1[[#This Row],[Total Shipped]]:Table1[[#This Row],[Total Sales]],"&lt;&gt;#N/A")</f>
        <v>11.8</v>
      </c>
      <c r="P613">
        <f>_xlfn.MAXIFS(Table1[[#This Row],[VGChartz Score]:[User Score]],Table1[[#This Row],[VGChartz Score]:[User Score]],"&lt;&gt;#N/A")</f>
        <v>8.3000000000000007</v>
      </c>
    </row>
    <row r="614" spans="1:16" hidden="1" x14ac:dyDescent="0.2">
      <c r="A614">
        <f t="shared" si="12"/>
        <v>613</v>
      </c>
      <c r="B614">
        <v>13</v>
      </c>
      <c r="C614" t="s">
        <v>138</v>
      </c>
      <c r="D614" t="s">
        <v>323</v>
      </c>
      <c r="E614" t="s">
        <v>290</v>
      </c>
      <c r="F614" t="s">
        <v>324</v>
      </c>
      <c r="G614" t="e">
        <v>#N/A</v>
      </c>
      <c r="H614">
        <v>8.9</v>
      </c>
      <c r="I614" t="e">
        <v>#N/A</v>
      </c>
      <c r="J614" s="1" t="e">
        <v>#N/A</v>
      </c>
      <c r="K614" s="1">
        <v>10.94</v>
      </c>
      <c r="L614" t="s">
        <v>325</v>
      </c>
      <c r="M614" t="s">
        <v>326</v>
      </c>
      <c r="N614">
        <f>2000+RIGHT(Table1[[#This Row],[Release Date]],2)</f>
        <v>2016</v>
      </c>
      <c r="O614">
        <f>_xlfn.MAXIFS(Table1[[#This Row],[Total Shipped]]:Table1[[#This Row],[Total Sales]],Table1[[#This Row],[Total Shipped]]:Table1[[#This Row],[Total Sales]],"&lt;&gt;#N/A")</f>
        <v>10.94</v>
      </c>
      <c r="P614">
        <f>_xlfn.MAXIFS(Table1[[#This Row],[VGChartz Score]:[User Score]],Table1[[#This Row],[VGChartz Score]:[User Score]],"&lt;&gt;#N/A")</f>
        <v>8.9</v>
      </c>
    </row>
    <row r="615" spans="1:16" hidden="1" x14ac:dyDescent="0.2">
      <c r="A615">
        <f t="shared" si="12"/>
        <v>614</v>
      </c>
      <c r="B615">
        <v>14</v>
      </c>
      <c r="C615" t="s">
        <v>138</v>
      </c>
      <c r="D615" t="s">
        <v>327</v>
      </c>
      <c r="E615" t="s">
        <v>290</v>
      </c>
      <c r="F615" t="s">
        <v>291</v>
      </c>
      <c r="G615">
        <v>7</v>
      </c>
      <c r="H615">
        <v>9.4</v>
      </c>
      <c r="I615" t="e">
        <v>#N/A</v>
      </c>
      <c r="J615" s="2">
        <v>10.3</v>
      </c>
      <c r="K615" s="2" t="e">
        <v>#N/A</v>
      </c>
      <c r="L615" t="s">
        <v>328</v>
      </c>
      <c r="M615" t="s">
        <v>329</v>
      </c>
      <c r="N615">
        <f>2000+RIGHT(Table1[[#This Row],[Release Date]],2)</f>
        <v>2020</v>
      </c>
      <c r="O615">
        <f>_xlfn.MAXIFS(Table1[[#This Row],[Total Shipped]]:Table1[[#This Row],[Total Sales]],Table1[[#This Row],[Total Shipped]]:Table1[[#This Row],[Total Sales]],"&lt;&gt;#N/A")</f>
        <v>10.3</v>
      </c>
      <c r="P615">
        <f>_xlfn.MAXIFS(Table1[[#This Row],[VGChartz Score]:[User Score]],Table1[[#This Row],[VGChartz Score]:[User Score]],"&lt;&gt;#N/A")</f>
        <v>9.4</v>
      </c>
    </row>
    <row r="616" spans="1:16" hidden="1" x14ac:dyDescent="0.2">
      <c r="A616">
        <f t="shared" si="12"/>
        <v>615</v>
      </c>
      <c r="B616">
        <v>15</v>
      </c>
      <c r="C616" t="s">
        <v>138</v>
      </c>
      <c r="D616" t="s">
        <v>330</v>
      </c>
      <c r="E616" t="s">
        <v>290</v>
      </c>
      <c r="F616" t="s">
        <v>307</v>
      </c>
      <c r="G616" t="e">
        <v>#N/A</v>
      </c>
      <c r="H616" t="e">
        <v>#N/A</v>
      </c>
      <c r="I616" t="e">
        <v>#N/A</v>
      </c>
      <c r="J616" s="1">
        <v>9.98</v>
      </c>
      <c r="K616" s="1" t="e">
        <v>#N/A</v>
      </c>
      <c r="L616" t="s">
        <v>331</v>
      </c>
      <c r="M616" t="e">
        <v>#N/A</v>
      </c>
      <c r="N616">
        <f>2000+RIGHT(Table1[[#This Row],[Release Date]],2)</f>
        <v>2015</v>
      </c>
      <c r="O616">
        <f>_xlfn.MAXIFS(Table1[[#This Row],[Total Shipped]]:Table1[[#This Row],[Total Sales]],Table1[[#This Row],[Total Shipped]]:Table1[[#This Row],[Total Sales]],"&lt;&gt;#N/A")</f>
        <v>9.98</v>
      </c>
      <c r="P616">
        <f>_xlfn.MAXIFS(Table1[[#This Row],[VGChartz Score]:[User Score]],Table1[[#This Row],[VGChartz Score]:[User Score]],"&lt;&gt;#N/A")</f>
        <v>0</v>
      </c>
    </row>
    <row r="617" spans="1:16" hidden="1" x14ac:dyDescent="0.2">
      <c r="A617">
        <f t="shared" si="12"/>
        <v>616</v>
      </c>
      <c r="B617">
        <v>16</v>
      </c>
      <c r="C617" t="s">
        <v>138</v>
      </c>
      <c r="D617" t="s">
        <v>332</v>
      </c>
      <c r="E617" t="s">
        <v>290</v>
      </c>
      <c r="F617" t="s">
        <v>233</v>
      </c>
      <c r="G617" t="e">
        <v>#N/A</v>
      </c>
      <c r="H617" t="e">
        <v>#N/A</v>
      </c>
      <c r="I617" t="e">
        <v>#N/A</v>
      </c>
      <c r="J617" s="2" t="e">
        <v>#N/A</v>
      </c>
      <c r="K617" s="2">
        <v>9.32</v>
      </c>
      <c r="L617" t="s">
        <v>333</v>
      </c>
      <c r="M617" t="s">
        <v>235</v>
      </c>
      <c r="N617">
        <f>2000+RIGHT(Table1[[#This Row],[Release Date]],2)</f>
        <v>2018</v>
      </c>
      <c r="O617">
        <f>_xlfn.MAXIFS(Table1[[#This Row],[Total Shipped]]:Table1[[#This Row],[Total Sales]],Table1[[#This Row],[Total Shipped]]:Table1[[#This Row],[Total Sales]],"&lt;&gt;#N/A")</f>
        <v>9.32</v>
      </c>
      <c r="P617">
        <f>_xlfn.MAXIFS(Table1[[#This Row],[VGChartz Score]:[User Score]],Table1[[#This Row],[VGChartz Score]:[User Score]],"&lt;&gt;#N/A")</f>
        <v>0</v>
      </c>
    </row>
    <row r="618" spans="1:16" hidden="1" x14ac:dyDescent="0.2">
      <c r="A618">
        <f t="shared" si="12"/>
        <v>617</v>
      </c>
      <c r="B618">
        <v>17</v>
      </c>
      <c r="C618" t="s">
        <v>138</v>
      </c>
      <c r="D618" t="s">
        <v>334</v>
      </c>
      <c r="E618" t="s">
        <v>290</v>
      </c>
      <c r="F618" t="s">
        <v>324</v>
      </c>
      <c r="G618" t="e">
        <v>#N/A</v>
      </c>
      <c r="H618" t="e">
        <v>#N/A</v>
      </c>
      <c r="I618" t="e">
        <v>#N/A</v>
      </c>
      <c r="J618" s="1" t="e">
        <v>#N/A</v>
      </c>
      <c r="K618" s="1">
        <v>9.15</v>
      </c>
      <c r="L618" t="s">
        <v>130</v>
      </c>
      <c r="M618" t="s">
        <v>335</v>
      </c>
      <c r="N618">
        <f>2000+RIGHT(Table1[[#This Row],[Release Date]],2)</f>
        <v>2018</v>
      </c>
      <c r="O618">
        <f>_xlfn.MAXIFS(Table1[[#This Row],[Total Shipped]]:Table1[[#This Row],[Total Sales]],Table1[[#This Row],[Total Shipped]]:Table1[[#This Row],[Total Sales]],"&lt;&gt;#N/A")</f>
        <v>9.15</v>
      </c>
      <c r="P618">
        <f>_xlfn.MAXIFS(Table1[[#This Row],[VGChartz Score]:[User Score]],Table1[[#This Row],[VGChartz Score]:[User Score]],"&lt;&gt;#N/A")</f>
        <v>0</v>
      </c>
    </row>
    <row r="619" spans="1:16" hidden="1" x14ac:dyDescent="0.2">
      <c r="A619">
        <f t="shared" si="12"/>
        <v>618</v>
      </c>
      <c r="B619">
        <v>18</v>
      </c>
      <c r="C619" t="s">
        <v>138</v>
      </c>
      <c r="D619" t="s">
        <v>336</v>
      </c>
      <c r="E619" t="s">
        <v>290</v>
      </c>
      <c r="F619" t="s">
        <v>233</v>
      </c>
      <c r="G619" t="e">
        <v>#N/A</v>
      </c>
      <c r="H619">
        <v>7.9</v>
      </c>
      <c r="I619" t="e">
        <v>#N/A</v>
      </c>
      <c r="J619" s="2" t="e">
        <v>#N/A</v>
      </c>
      <c r="K619" s="2">
        <v>8.48</v>
      </c>
      <c r="L619" t="s">
        <v>337</v>
      </c>
      <c r="M619" t="s">
        <v>312</v>
      </c>
      <c r="N619">
        <f>2000+RIGHT(Table1[[#This Row],[Release Date]],2)</f>
        <v>2016</v>
      </c>
      <c r="O619">
        <f>_xlfn.MAXIFS(Table1[[#This Row],[Total Shipped]]:Table1[[#This Row],[Total Sales]],Table1[[#This Row],[Total Shipped]]:Table1[[#This Row],[Total Sales]],"&lt;&gt;#N/A")</f>
        <v>8.48</v>
      </c>
      <c r="P619">
        <f>_xlfn.MAXIFS(Table1[[#This Row],[VGChartz Score]:[User Score]],Table1[[#This Row],[VGChartz Score]:[User Score]],"&lt;&gt;#N/A")</f>
        <v>7.9</v>
      </c>
    </row>
    <row r="620" spans="1:16" hidden="1" x14ac:dyDescent="0.2">
      <c r="A620">
        <f t="shared" si="12"/>
        <v>619</v>
      </c>
      <c r="B620">
        <v>19</v>
      </c>
      <c r="C620" t="s">
        <v>138</v>
      </c>
      <c r="D620" t="s">
        <v>338</v>
      </c>
      <c r="E620" t="s">
        <v>290</v>
      </c>
      <c r="F620" t="s">
        <v>222</v>
      </c>
      <c r="G620" t="e">
        <v>#N/A</v>
      </c>
      <c r="H620">
        <v>8.6</v>
      </c>
      <c r="I620" t="e">
        <v>#N/A</v>
      </c>
      <c r="J620" s="1" t="e">
        <v>#N/A</v>
      </c>
      <c r="K620" s="1">
        <v>8.48</v>
      </c>
      <c r="L620" t="s">
        <v>339</v>
      </c>
      <c r="M620" t="s">
        <v>340</v>
      </c>
      <c r="N620">
        <f>2000+RIGHT(Table1[[#This Row],[Release Date]],2)</f>
        <v>2015</v>
      </c>
      <c r="O620">
        <f>_xlfn.MAXIFS(Table1[[#This Row],[Total Shipped]]:Table1[[#This Row],[Total Sales]],Table1[[#This Row],[Total Shipped]]:Table1[[#This Row],[Total Sales]],"&lt;&gt;#N/A")</f>
        <v>8.48</v>
      </c>
      <c r="P620">
        <f>_xlfn.MAXIFS(Table1[[#This Row],[VGChartz Score]:[User Score]],Table1[[#This Row],[VGChartz Score]:[User Score]],"&lt;&gt;#N/A")</f>
        <v>8.6</v>
      </c>
    </row>
    <row r="621" spans="1:16" hidden="1" x14ac:dyDescent="0.2">
      <c r="A621">
        <f t="shared" si="12"/>
        <v>620</v>
      </c>
      <c r="B621">
        <v>20</v>
      </c>
      <c r="C621" t="s">
        <v>138</v>
      </c>
      <c r="D621" t="s">
        <v>341</v>
      </c>
      <c r="E621" t="s">
        <v>290</v>
      </c>
      <c r="F621" t="s">
        <v>244</v>
      </c>
      <c r="G621" t="e">
        <v>#N/A</v>
      </c>
      <c r="H621">
        <v>8.5</v>
      </c>
      <c r="I621" t="e">
        <v>#N/A</v>
      </c>
      <c r="J621" s="2" t="e">
        <v>#N/A</v>
      </c>
      <c r="K621" s="2">
        <v>8.2200000000000006</v>
      </c>
      <c r="L621" t="s">
        <v>342</v>
      </c>
      <c r="M621" t="s">
        <v>343</v>
      </c>
      <c r="N621">
        <f>2000+RIGHT(Table1[[#This Row],[Release Date]],2)</f>
        <v>2015</v>
      </c>
      <c r="O621">
        <f>_xlfn.MAXIFS(Table1[[#This Row],[Total Shipped]]:Table1[[#This Row],[Total Sales]],Table1[[#This Row],[Total Shipped]]:Table1[[#This Row],[Total Sales]],"&lt;&gt;#N/A")</f>
        <v>8.2200000000000006</v>
      </c>
      <c r="P621">
        <f>_xlfn.MAXIFS(Table1[[#This Row],[VGChartz Score]:[User Score]],Table1[[#This Row],[VGChartz Score]:[User Score]],"&lt;&gt;#N/A")</f>
        <v>8.5</v>
      </c>
    </row>
    <row r="622" spans="1:16" hidden="1" x14ac:dyDescent="0.2">
      <c r="A622">
        <f t="shared" si="12"/>
        <v>621</v>
      </c>
      <c r="B622">
        <v>21</v>
      </c>
      <c r="C622" t="s">
        <v>138</v>
      </c>
      <c r="D622" t="s">
        <v>344</v>
      </c>
      <c r="E622" t="s">
        <v>290</v>
      </c>
      <c r="F622" t="s">
        <v>324</v>
      </c>
      <c r="G622" t="e">
        <v>#N/A</v>
      </c>
      <c r="H622">
        <v>7.1</v>
      </c>
      <c r="I622" t="e">
        <v>#N/A</v>
      </c>
      <c r="J622" s="1" t="e">
        <v>#N/A</v>
      </c>
      <c r="K622" s="1">
        <v>8.0299999999999994</v>
      </c>
      <c r="L622" t="s">
        <v>345</v>
      </c>
      <c r="M622" t="s">
        <v>340</v>
      </c>
      <c r="N622">
        <f>2000+RIGHT(Table1[[#This Row],[Release Date]],2)</f>
        <v>2015</v>
      </c>
      <c r="O622">
        <f>_xlfn.MAXIFS(Table1[[#This Row],[Total Shipped]]:Table1[[#This Row],[Total Sales]],Table1[[#This Row],[Total Shipped]]:Table1[[#This Row],[Total Sales]],"&lt;&gt;#N/A")</f>
        <v>8.0299999999999994</v>
      </c>
      <c r="P622">
        <f>_xlfn.MAXIFS(Table1[[#This Row],[VGChartz Score]:[User Score]],Table1[[#This Row],[VGChartz Score]:[User Score]],"&lt;&gt;#N/A")</f>
        <v>7.1</v>
      </c>
    </row>
    <row r="623" spans="1:16" hidden="1" x14ac:dyDescent="0.2">
      <c r="A623">
        <f t="shared" si="12"/>
        <v>622</v>
      </c>
      <c r="B623">
        <v>22</v>
      </c>
      <c r="C623" t="s">
        <v>138</v>
      </c>
      <c r="D623" t="s">
        <v>346</v>
      </c>
      <c r="E623" t="s">
        <v>290</v>
      </c>
      <c r="F623" t="s">
        <v>291</v>
      </c>
      <c r="G623">
        <v>5</v>
      </c>
      <c r="H623">
        <v>8.8000000000000007</v>
      </c>
      <c r="I623" t="e">
        <v>#N/A</v>
      </c>
      <c r="J623" s="2">
        <v>8</v>
      </c>
      <c r="K623" s="2" t="e">
        <v>#N/A</v>
      </c>
      <c r="L623" t="s">
        <v>110</v>
      </c>
      <c r="M623" t="s">
        <v>347</v>
      </c>
      <c r="N623">
        <f>2000+RIGHT(Table1[[#This Row],[Release Date]],2)</f>
        <v>2020</v>
      </c>
      <c r="O623">
        <f>_xlfn.MAXIFS(Table1[[#This Row],[Total Shipped]]:Table1[[#This Row],[Total Sales]],Table1[[#This Row],[Total Shipped]]:Table1[[#This Row],[Total Sales]],"&lt;&gt;#N/A")</f>
        <v>8</v>
      </c>
      <c r="P623">
        <f>_xlfn.MAXIFS(Table1[[#This Row],[VGChartz Score]:[User Score]],Table1[[#This Row],[VGChartz Score]:[User Score]],"&lt;&gt;#N/A")</f>
        <v>8.8000000000000007</v>
      </c>
    </row>
    <row r="624" spans="1:16" hidden="1" x14ac:dyDescent="0.2">
      <c r="A624">
        <f t="shared" si="12"/>
        <v>623</v>
      </c>
      <c r="B624">
        <v>23</v>
      </c>
      <c r="C624" t="s">
        <v>138</v>
      </c>
      <c r="D624" t="s">
        <v>348</v>
      </c>
      <c r="E624" t="s">
        <v>290</v>
      </c>
      <c r="F624" t="s">
        <v>307</v>
      </c>
      <c r="G624">
        <v>9.3000000000000007</v>
      </c>
      <c r="H624">
        <v>8.1999999999999993</v>
      </c>
      <c r="I624" t="e">
        <v>#N/A</v>
      </c>
      <c r="J624" s="1">
        <v>7.65</v>
      </c>
      <c r="K624" s="1" t="e">
        <v>#N/A</v>
      </c>
      <c r="L624" t="s">
        <v>349</v>
      </c>
      <c r="M624" t="s">
        <v>350</v>
      </c>
      <c r="N624">
        <f>2000+RIGHT(Table1[[#This Row],[Release Date]],2)</f>
        <v>2015</v>
      </c>
      <c r="O624">
        <f>_xlfn.MAXIFS(Table1[[#This Row],[Total Shipped]]:Table1[[#This Row],[Total Sales]],Table1[[#This Row],[Total Shipped]]:Table1[[#This Row],[Total Sales]],"&lt;&gt;#N/A")</f>
        <v>7.65</v>
      </c>
      <c r="P624">
        <f>_xlfn.MAXIFS(Table1[[#This Row],[VGChartz Score]:[User Score]],Table1[[#This Row],[VGChartz Score]:[User Score]],"&lt;&gt;#N/A")</f>
        <v>9.3000000000000007</v>
      </c>
    </row>
    <row r="625" spans="1:16" hidden="1" x14ac:dyDescent="0.2">
      <c r="A625">
        <f t="shared" si="12"/>
        <v>624</v>
      </c>
      <c r="B625">
        <v>24</v>
      </c>
      <c r="C625" t="s">
        <v>138</v>
      </c>
      <c r="D625" t="s">
        <v>351</v>
      </c>
      <c r="E625" t="s">
        <v>290</v>
      </c>
      <c r="F625" t="s">
        <v>233</v>
      </c>
      <c r="G625" t="e">
        <v>#N/A</v>
      </c>
      <c r="H625">
        <v>8.5</v>
      </c>
      <c r="I625" t="e">
        <v>#N/A</v>
      </c>
      <c r="J625" s="2" t="e">
        <v>#N/A</v>
      </c>
      <c r="K625" s="2">
        <v>7.53</v>
      </c>
      <c r="L625" t="s">
        <v>352</v>
      </c>
      <c r="M625" t="s">
        <v>353</v>
      </c>
      <c r="N625">
        <f>2000+RIGHT(Table1[[#This Row],[Release Date]],2)</f>
        <v>2014</v>
      </c>
      <c r="O625">
        <f>_xlfn.MAXIFS(Table1[[#This Row],[Total Shipped]]:Table1[[#This Row],[Total Sales]],Table1[[#This Row],[Total Shipped]]:Table1[[#This Row],[Total Sales]],"&lt;&gt;#N/A")</f>
        <v>7.53</v>
      </c>
      <c r="P625">
        <f>_xlfn.MAXIFS(Table1[[#This Row],[VGChartz Score]:[User Score]],Table1[[#This Row],[VGChartz Score]:[User Score]],"&lt;&gt;#N/A")</f>
        <v>8.5</v>
      </c>
    </row>
    <row r="626" spans="1:16" hidden="1" x14ac:dyDescent="0.2">
      <c r="A626">
        <f t="shared" si="12"/>
        <v>625</v>
      </c>
      <c r="B626">
        <v>25</v>
      </c>
      <c r="C626" t="s">
        <v>138</v>
      </c>
      <c r="D626" t="s">
        <v>354</v>
      </c>
      <c r="E626" t="s">
        <v>290</v>
      </c>
      <c r="F626" t="s">
        <v>324</v>
      </c>
      <c r="G626" t="e">
        <v>#N/A</v>
      </c>
      <c r="H626">
        <v>9.1</v>
      </c>
      <c r="I626" t="e">
        <v>#N/A</v>
      </c>
      <c r="J626" s="1" t="e">
        <v>#N/A</v>
      </c>
      <c r="K626" s="1">
        <v>7.26</v>
      </c>
      <c r="L626" t="s">
        <v>355</v>
      </c>
      <c r="M626" t="s">
        <v>340</v>
      </c>
      <c r="N626">
        <f>2000+RIGHT(Table1[[#This Row],[Release Date]],2)</f>
        <v>2016</v>
      </c>
      <c r="O626">
        <f>_xlfn.MAXIFS(Table1[[#This Row],[Total Shipped]]:Table1[[#This Row],[Total Sales]],Table1[[#This Row],[Total Shipped]]:Table1[[#This Row],[Total Sales]],"&lt;&gt;#N/A")</f>
        <v>7.26</v>
      </c>
      <c r="P626">
        <f>_xlfn.MAXIFS(Table1[[#This Row],[VGChartz Score]:[User Score]],Table1[[#This Row],[VGChartz Score]:[User Score]],"&lt;&gt;#N/A")</f>
        <v>9.1</v>
      </c>
    </row>
    <row r="627" spans="1:16" hidden="1" x14ac:dyDescent="0.2">
      <c r="A627">
        <f t="shared" si="12"/>
        <v>626</v>
      </c>
      <c r="B627">
        <v>26</v>
      </c>
      <c r="C627" t="s">
        <v>138</v>
      </c>
      <c r="D627" t="s">
        <v>356</v>
      </c>
      <c r="E627" t="s">
        <v>290</v>
      </c>
      <c r="F627" t="s">
        <v>291</v>
      </c>
      <c r="G627" t="e">
        <v>#N/A</v>
      </c>
      <c r="H627">
        <v>6.7</v>
      </c>
      <c r="I627" t="e">
        <v>#N/A</v>
      </c>
      <c r="J627" s="2">
        <v>7.24</v>
      </c>
      <c r="K627" s="2" t="e">
        <v>#N/A</v>
      </c>
      <c r="L627" t="s">
        <v>357</v>
      </c>
      <c r="M627" t="s">
        <v>358</v>
      </c>
      <c r="N627">
        <f>2000+RIGHT(Table1[[#This Row],[Release Date]],2)</f>
        <v>2019</v>
      </c>
      <c r="O627">
        <f>_xlfn.MAXIFS(Table1[[#This Row],[Total Shipped]]:Table1[[#This Row],[Total Sales]],Table1[[#This Row],[Total Shipped]]:Table1[[#This Row],[Total Sales]],"&lt;&gt;#N/A")</f>
        <v>7.24</v>
      </c>
      <c r="P627">
        <f>_xlfn.MAXIFS(Table1[[#This Row],[VGChartz Score]:[User Score]],Table1[[#This Row],[VGChartz Score]:[User Score]],"&lt;&gt;#N/A")</f>
        <v>6.7</v>
      </c>
    </row>
    <row r="628" spans="1:16" hidden="1" x14ac:dyDescent="0.2">
      <c r="A628">
        <f t="shared" si="12"/>
        <v>627</v>
      </c>
      <c r="B628">
        <v>27</v>
      </c>
      <c r="C628" t="s">
        <v>138</v>
      </c>
      <c r="D628" t="s">
        <v>359</v>
      </c>
      <c r="E628" t="s">
        <v>290</v>
      </c>
      <c r="F628" t="s">
        <v>291</v>
      </c>
      <c r="G628" t="e">
        <v>#N/A</v>
      </c>
      <c r="H628" t="e">
        <v>#N/A</v>
      </c>
      <c r="I628" t="e">
        <v>#N/A</v>
      </c>
      <c r="J628" s="1">
        <v>7.06</v>
      </c>
      <c r="K628" s="1" t="e">
        <v>#N/A</v>
      </c>
      <c r="L628" t="s">
        <v>360</v>
      </c>
      <c r="M628" t="s">
        <v>361</v>
      </c>
      <c r="N628">
        <f>2000+RIGHT(Table1[[#This Row],[Release Date]],2)</f>
        <v>2016</v>
      </c>
      <c r="O628">
        <f>_xlfn.MAXIFS(Table1[[#This Row],[Total Shipped]]:Table1[[#This Row],[Total Sales]],Table1[[#This Row],[Total Shipped]]:Table1[[#This Row],[Total Sales]],"&lt;&gt;#N/A")</f>
        <v>7.06</v>
      </c>
      <c r="P628">
        <f>_xlfn.MAXIFS(Table1[[#This Row],[VGChartz Score]:[User Score]],Table1[[#This Row],[VGChartz Score]:[User Score]],"&lt;&gt;#N/A")</f>
        <v>0</v>
      </c>
    </row>
    <row r="629" spans="1:16" hidden="1" x14ac:dyDescent="0.2">
      <c r="A629">
        <f t="shared" si="12"/>
        <v>628</v>
      </c>
      <c r="B629">
        <v>28</v>
      </c>
      <c r="C629" t="s">
        <v>138</v>
      </c>
      <c r="D629" t="s">
        <v>163</v>
      </c>
      <c r="E629" t="s">
        <v>290</v>
      </c>
      <c r="F629" t="s">
        <v>307</v>
      </c>
      <c r="G629" t="e">
        <v>#N/A</v>
      </c>
      <c r="H629">
        <v>9.4</v>
      </c>
      <c r="I629" t="e">
        <v>#N/A</v>
      </c>
      <c r="J629" s="2" t="e">
        <v>#N/A</v>
      </c>
      <c r="K629" s="2">
        <v>6.33</v>
      </c>
      <c r="L629" t="s">
        <v>362</v>
      </c>
      <c r="M629" t="s">
        <v>363</v>
      </c>
      <c r="N629">
        <f>2000+RIGHT(Table1[[#This Row],[Release Date]],2)</f>
        <v>2014</v>
      </c>
      <c r="O629">
        <f>_xlfn.MAXIFS(Table1[[#This Row],[Total Shipped]]:Table1[[#This Row],[Total Sales]],Table1[[#This Row],[Total Shipped]]:Table1[[#This Row],[Total Sales]],"&lt;&gt;#N/A")</f>
        <v>6.33</v>
      </c>
      <c r="P629">
        <f>_xlfn.MAXIFS(Table1[[#This Row],[VGChartz Score]:[User Score]],Table1[[#This Row],[VGChartz Score]:[User Score]],"&lt;&gt;#N/A")</f>
        <v>9.4</v>
      </c>
    </row>
    <row r="630" spans="1:16" hidden="1" x14ac:dyDescent="0.2">
      <c r="A630">
        <f t="shared" si="12"/>
        <v>629</v>
      </c>
      <c r="B630">
        <v>29</v>
      </c>
      <c r="C630" t="s">
        <v>138</v>
      </c>
      <c r="D630" t="s">
        <v>364</v>
      </c>
      <c r="E630" t="s">
        <v>290</v>
      </c>
      <c r="F630" t="s">
        <v>244</v>
      </c>
      <c r="G630">
        <v>8.8000000000000007</v>
      </c>
      <c r="H630">
        <v>8.1</v>
      </c>
      <c r="I630" t="e">
        <v>#N/A</v>
      </c>
      <c r="J630" s="1" t="e">
        <v>#N/A</v>
      </c>
      <c r="K630" s="1">
        <v>6.32</v>
      </c>
      <c r="L630" t="s">
        <v>365</v>
      </c>
      <c r="M630" t="s">
        <v>366</v>
      </c>
      <c r="N630">
        <f>2000+RIGHT(Table1[[#This Row],[Release Date]],2)</f>
        <v>2014</v>
      </c>
      <c r="O630">
        <f>_xlfn.MAXIFS(Table1[[#This Row],[Total Shipped]]:Table1[[#This Row],[Total Sales]],Table1[[#This Row],[Total Shipped]]:Table1[[#This Row],[Total Sales]],"&lt;&gt;#N/A")</f>
        <v>6.32</v>
      </c>
      <c r="P630">
        <f>_xlfn.MAXIFS(Table1[[#This Row],[VGChartz Score]:[User Score]],Table1[[#This Row],[VGChartz Score]:[User Score]],"&lt;&gt;#N/A")</f>
        <v>8.8000000000000007</v>
      </c>
    </row>
    <row r="631" spans="1:16" hidden="1" x14ac:dyDescent="0.2">
      <c r="A631">
        <f t="shared" si="12"/>
        <v>630</v>
      </c>
      <c r="B631">
        <v>30</v>
      </c>
      <c r="C631" t="s">
        <v>138</v>
      </c>
      <c r="D631" t="s">
        <v>367</v>
      </c>
      <c r="E631" t="s">
        <v>290</v>
      </c>
      <c r="F631" t="s">
        <v>175</v>
      </c>
      <c r="G631" t="e">
        <v>#N/A</v>
      </c>
      <c r="H631" t="e">
        <v>#N/A</v>
      </c>
      <c r="I631" t="e">
        <v>#N/A</v>
      </c>
      <c r="J631" s="2">
        <v>6.23</v>
      </c>
      <c r="K631" s="2" t="e">
        <v>#N/A</v>
      </c>
      <c r="L631" t="s">
        <v>368</v>
      </c>
      <c r="M631" t="s">
        <v>369</v>
      </c>
      <c r="N631">
        <f>2000+RIGHT(Table1[[#This Row],[Release Date]],2)</f>
        <v>2017</v>
      </c>
      <c r="O631">
        <f>_xlfn.MAXIFS(Table1[[#This Row],[Total Shipped]]:Table1[[#This Row],[Total Sales]],Table1[[#This Row],[Total Shipped]]:Table1[[#This Row],[Total Sales]],"&lt;&gt;#N/A")</f>
        <v>6.23</v>
      </c>
      <c r="P631">
        <f>_xlfn.MAXIFS(Table1[[#This Row],[VGChartz Score]:[User Score]],Table1[[#This Row],[VGChartz Score]:[User Score]],"&lt;&gt;#N/A")</f>
        <v>0</v>
      </c>
    </row>
    <row r="632" spans="1:16" hidden="1" x14ac:dyDescent="0.2">
      <c r="A632">
        <f t="shared" si="12"/>
        <v>631</v>
      </c>
      <c r="B632">
        <v>31</v>
      </c>
      <c r="C632" t="s">
        <v>138</v>
      </c>
      <c r="D632" t="s">
        <v>370</v>
      </c>
      <c r="E632" t="s">
        <v>290</v>
      </c>
      <c r="F632" t="s">
        <v>233</v>
      </c>
      <c r="G632">
        <v>7.5</v>
      </c>
      <c r="H632" t="e">
        <v>#N/A</v>
      </c>
      <c r="I632" t="e">
        <v>#N/A</v>
      </c>
      <c r="J632" s="1" t="e">
        <v>#N/A</v>
      </c>
      <c r="K632" s="1">
        <v>5.76</v>
      </c>
      <c r="L632" t="s">
        <v>371</v>
      </c>
      <c r="M632" t="s">
        <v>372</v>
      </c>
      <c r="N632">
        <f>2000+RIGHT(Table1[[#This Row],[Release Date]],2)</f>
        <v>2014</v>
      </c>
      <c r="O632">
        <f>_xlfn.MAXIFS(Table1[[#This Row],[Total Shipped]]:Table1[[#This Row],[Total Sales]],Table1[[#This Row],[Total Shipped]]:Table1[[#This Row],[Total Sales]],"&lt;&gt;#N/A")</f>
        <v>5.76</v>
      </c>
      <c r="P632">
        <f>_xlfn.MAXIFS(Table1[[#This Row],[VGChartz Score]:[User Score]],Table1[[#This Row],[VGChartz Score]:[User Score]],"&lt;&gt;#N/A")</f>
        <v>7.5</v>
      </c>
    </row>
    <row r="633" spans="1:16" hidden="1" x14ac:dyDescent="0.2">
      <c r="A633">
        <f t="shared" si="12"/>
        <v>632</v>
      </c>
      <c r="B633">
        <v>32</v>
      </c>
      <c r="C633" t="s">
        <v>138</v>
      </c>
      <c r="D633" t="s">
        <v>373</v>
      </c>
      <c r="E633" t="s">
        <v>290</v>
      </c>
      <c r="F633" t="s">
        <v>307</v>
      </c>
      <c r="G633" t="e">
        <v>#N/A</v>
      </c>
      <c r="H633" t="e">
        <v>#N/A</v>
      </c>
      <c r="I633" t="e">
        <v>#N/A</v>
      </c>
      <c r="J633" s="2">
        <v>5.62</v>
      </c>
      <c r="K633" s="2" t="e">
        <v>#N/A</v>
      </c>
      <c r="L633" t="s">
        <v>374</v>
      </c>
      <c r="M633" t="s">
        <v>375</v>
      </c>
      <c r="N633">
        <f>2000+RIGHT(Table1[[#This Row],[Release Date]],2)</f>
        <v>2015</v>
      </c>
      <c r="O633">
        <f>_xlfn.MAXIFS(Table1[[#This Row],[Total Shipped]]:Table1[[#This Row],[Total Sales]],Table1[[#This Row],[Total Shipped]]:Table1[[#This Row],[Total Sales]],"&lt;&gt;#N/A")</f>
        <v>5.62</v>
      </c>
      <c r="P633">
        <f>_xlfn.MAXIFS(Table1[[#This Row],[VGChartz Score]:[User Score]],Table1[[#This Row],[VGChartz Score]:[User Score]],"&lt;&gt;#N/A")</f>
        <v>0</v>
      </c>
    </row>
    <row r="634" spans="1:16" hidden="1" x14ac:dyDescent="0.2">
      <c r="A634">
        <f t="shared" si="12"/>
        <v>633</v>
      </c>
      <c r="B634">
        <v>33</v>
      </c>
      <c r="C634" t="s">
        <v>138</v>
      </c>
      <c r="D634" t="s">
        <v>376</v>
      </c>
      <c r="E634" t="s">
        <v>290</v>
      </c>
      <c r="F634" t="s">
        <v>307</v>
      </c>
      <c r="G634">
        <v>7.5</v>
      </c>
      <c r="H634" t="e">
        <v>#N/A</v>
      </c>
      <c r="I634" t="e">
        <v>#N/A</v>
      </c>
      <c r="J634" s="1">
        <v>5.54</v>
      </c>
      <c r="K634" s="1" t="e">
        <v>#N/A</v>
      </c>
      <c r="L634" t="s">
        <v>298</v>
      </c>
      <c r="M634" t="s">
        <v>377</v>
      </c>
      <c r="N634">
        <f>2000+RIGHT(Table1[[#This Row],[Release Date]],2)</f>
        <v>2014</v>
      </c>
      <c r="O634">
        <f>_xlfn.MAXIFS(Table1[[#This Row],[Total Shipped]]:Table1[[#This Row],[Total Sales]],Table1[[#This Row],[Total Shipped]]:Table1[[#This Row],[Total Sales]],"&lt;&gt;#N/A")</f>
        <v>5.54</v>
      </c>
      <c r="P634">
        <f>_xlfn.MAXIFS(Table1[[#This Row],[VGChartz Score]:[User Score]],Table1[[#This Row],[VGChartz Score]:[User Score]],"&lt;&gt;#N/A")</f>
        <v>7.5</v>
      </c>
    </row>
    <row r="635" spans="1:16" hidden="1" x14ac:dyDescent="0.2">
      <c r="A635">
        <f t="shared" si="12"/>
        <v>634</v>
      </c>
      <c r="B635">
        <v>34</v>
      </c>
      <c r="C635" t="s">
        <v>138</v>
      </c>
      <c r="D635" t="s">
        <v>378</v>
      </c>
      <c r="E635" t="s">
        <v>290</v>
      </c>
      <c r="F635" t="s">
        <v>291</v>
      </c>
      <c r="G635">
        <v>8</v>
      </c>
      <c r="H635">
        <v>8</v>
      </c>
      <c r="I635" t="e">
        <v>#N/A</v>
      </c>
      <c r="J635" s="2">
        <v>5.5</v>
      </c>
      <c r="K635" s="2" t="e">
        <v>#N/A</v>
      </c>
      <c r="L635" t="s">
        <v>379</v>
      </c>
      <c r="M635" t="s">
        <v>226</v>
      </c>
      <c r="N635">
        <f>2000+RIGHT(Table1[[#This Row],[Release Date]],2)</f>
        <v>2018</v>
      </c>
      <c r="O635">
        <f>_xlfn.MAXIFS(Table1[[#This Row],[Total Shipped]]:Table1[[#This Row],[Total Sales]],Table1[[#This Row],[Total Shipped]]:Table1[[#This Row],[Total Sales]],"&lt;&gt;#N/A")</f>
        <v>5.5</v>
      </c>
      <c r="P635">
        <f>_xlfn.MAXIFS(Table1[[#This Row],[VGChartz Score]:[User Score]],Table1[[#This Row],[VGChartz Score]:[User Score]],"&lt;&gt;#N/A")</f>
        <v>8</v>
      </c>
    </row>
    <row r="636" spans="1:16" hidden="1" x14ac:dyDescent="0.2">
      <c r="A636">
        <f t="shared" si="12"/>
        <v>635</v>
      </c>
      <c r="B636">
        <v>35</v>
      </c>
      <c r="C636" t="s">
        <v>138</v>
      </c>
      <c r="D636" t="s">
        <v>380</v>
      </c>
      <c r="E636" t="s">
        <v>290</v>
      </c>
      <c r="F636" t="s">
        <v>291</v>
      </c>
      <c r="G636" t="e">
        <v>#N/A</v>
      </c>
      <c r="H636" t="e">
        <v>#N/A</v>
      </c>
      <c r="I636" t="e">
        <v>#N/A</v>
      </c>
      <c r="J636" s="1">
        <v>5.34</v>
      </c>
      <c r="K636" s="1" t="e">
        <v>#N/A</v>
      </c>
      <c r="L636" t="s">
        <v>381</v>
      </c>
      <c r="M636" t="e">
        <v>#N/A</v>
      </c>
      <c r="N636">
        <f>2000+RIGHT(Table1[[#This Row],[Release Date]],2)</f>
        <v>2017</v>
      </c>
      <c r="O636">
        <f>_xlfn.MAXIFS(Table1[[#This Row],[Total Shipped]]:Table1[[#This Row],[Total Sales]],Table1[[#This Row],[Total Shipped]]:Table1[[#This Row],[Total Sales]],"&lt;&gt;#N/A")</f>
        <v>5.34</v>
      </c>
      <c r="P636">
        <f>_xlfn.MAXIFS(Table1[[#This Row],[VGChartz Score]:[User Score]],Table1[[#This Row],[VGChartz Score]:[User Score]],"&lt;&gt;#N/A")</f>
        <v>0</v>
      </c>
    </row>
    <row r="637" spans="1:16" hidden="1" x14ac:dyDescent="0.2">
      <c r="A637">
        <f t="shared" si="12"/>
        <v>636</v>
      </c>
      <c r="B637">
        <v>36</v>
      </c>
      <c r="C637" t="s">
        <v>138</v>
      </c>
      <c r="D637" t="s">
        <v>382</v>
      </c>
      <c r="E637" t="s">
        <v>290</v>
      </c>
      <c r="F637" t="s">
        <v>307</v>
      </c>
      <c r="G637">
        <v>8.1999999999999993</v>
      </c>
      <c r="H637" t="e">
        <v>#N/A</v>
      </c>
      <c r="I637" t="e">
        <v>#N/A</v>
      </c>
      <c r="J637" s="2">
        <v>5.3</v>
      </c>
      <c r="K637" s="2" t="e">
        <v>#N/A</v>
      </c>
      <c r="L637" t="s">
        <v>383</v>
      </c>
      <c r="M637" t="s">
        <v>145</v>
      </c>
      <c r="N637">
        <f>2000+RIGHT(Table1[[#This Row],[Release Date]],2)</f>
        <v>2014</v>
      </c>
      <c r="O637">
        <f>_xlfn.MAXIFS(Table1[[#This Row],[Total Shipped]]:Table1[[#This Row],[Total Sales]],Table1[[#This Row],[Total Shipped]]:Table1[[#This Row],[Total Sales]],"&lt;&gt;#N/A")</f>
        <v>5.3</v>
      </c>
      <c r="P637">
        <f>_xlfn.MAXIFS(Table1[[#This Row],[VGChartz Score]:[User Score]],Table1[[#This Row],[VGChartz Score]:[User Score]],"&lt;&gt;#N/A")</f>
        <v>8.1999999999999993</v>
      </c>
    </row>
    <row r="638" spans="1:16" hidden="1" x14ac:dyDescent="0.2">
      <c r="A638">
        <f t="shared" si="12"/>
        <v>637</v>
      </c>
      <c r="B638">
        <v>37</v>
      </c>
      <c r="C638" t="s">
        <v>138</v>
      </c>
      <c r="D638" t="s">
        <v>384</v>
      </c>
      <c r="E638" t="s">
        <v>290</v>
      </c>
      <c r="F638" t="s">
        <v>254</v>
      </c>
      <c r="G638" t="e">
        <v>#N/A</v>
      </c>
      <c r="H638">
        <v>8.1</v>
      </c>
      <c r="I638">
        <v>9</v>
      </c>
      <c r="J638" s="1" t="e">
        <v>#N/A</v>
      </c>
      <c r="K638" s="1">
        <v>5.07</v>
      </c>
      <c r="L638" t="s">
        <v>385</v>
      </c>
      <c r="M638" t="s">
        <v>85</v>
      </c>
      <c r="N638">
        <f>2000+RIGHT(Table1[[#This Row],[Release Date]],2)</f>
        <v>2016</v>
      </c>
      <c r="O638">
        <f>_xlfn.MAXIFS(Table1[[#This Row],[Total Shipped]]:Table1[[#This Row],[Total Sales]],Table1[[#This Row],[Total Shipped]]:Table1[[#This Row],[Total Sales]],"&lt;&gt;#N/A")</f>
        <v>5.07</v>
      </c>
      <c r="P638">
        <f>_xlfn.MAXIFS(Table1[[#This Row],[VGChartz Score]:[User Score]],Table1[[#This Row],[VGChartz Score]:[User Score]],"&lt;&gt;#N/A")</f>
        <v>9</v>
      </c>
    </row>
    <row r="639" spans="1:16" hidden="1" x14ac:dyDescent="0.2">
      <c r="A639">
        <f t="shared" si="12"/>
        <v>638</v>
      </c>
      <c r="B639">
        <v>38</v>
      </c>
      <c r="C639" t="s">
        <v>138</v>
      </c>
      <c r="D639" t="s">
        <v>386</v>
      </c>
      <c r="E639" t="s">
        <v>290</v>
      </c>
      <c r="F639" t="s">
        <v>254</v>
      </c>
      <c r="G639">
        <v>9</v>
      </c>
      <c r="H639">
        <v>8.6999999999999993</v>
      </c>
      <c r="I639" t="e">
        <v>#N/A</v>
      </c>
      <c r="J639" s="2">
        <v>5</v>
      </c>
      <c r="K639" s="2" t="e">
        <v>#N/A</v>
      </c>
      <c r="L639" t="s">
        <v>387</v>
      </c>
      <c r="M639" t="s">
        <v>137</v>
      </c>
      <c r="N639">
        <f>2000+RIGHT(Table1[[#This Row],[Release Date]],2)</f>
        <v>2020</v>
      </c>
      <c r="O639">
        <f>_xlfn.MAXIFS(Table1[[#This Row],[Total Shipped]]:Table1[[#This Row],[Total Sales]],Table1[[#This Row],[Total Shipped]]:Table1[[#This Row],[Total Sales]],"&lt;&gt;#N/A")</f>
        <v>5</v>
      </c>
      <c r="P639">
        <f>_xlfn.MAXIFS(Table1[[#This Row],[VGChartz Score]:[User Score]],Table1[[#This Row],[VGChartz Score]:[User Score]],"&lt;&gt;#N/A")</f>
        <v>9</v>
      </c>
    </row>
    <row r="640" spans="1:16" hidden="1" x14ac:dyDescent="0.2">
      <c r="A640">
        <f t="shared" si="12"/>
        <v>639</v>
      </c>
      <c r="B640">
        <v>39</v>
      </c>
      <c r="C640" t="s">
        <v>138</v>
      </c>
      <c r="D640" t="s">
        <v>388</v>
      </c>
      <c r="E640" t="s">
        <v>290</v>
      </c>
      <c r="F640" t="s">
        <v>307</v>
      </c>
      <c r="G640">
        <v>5.8</v>
      </c>
      <c r="H640">
        <v>7.2</v>
      </c>
      <c r="I640" t="e">
        <v>#N/A</v>
      </c>
      <c r="J640" s="1">
        <v>4.97</v>
      </c>
      <c r="K640" s="1" t="e">
        <v>#N/A</v>
      </c>
      <c r="L640" t="s">
        <v>362</v>
      </c>
      <c r="M640" t="s">
        <v>389</v>
      </c>
      <c r="N640">
        <f>2000+RIGHT(Table1[[#This Row],[Release Date]],2)</f>
        <v>2014</v>
      </c>
      <c r="O640">
        <f>_xlfn.MAXIFS(Table1[[#This Row],[Total Shipped]]:Table1[[#This Row],[Total Sales]],Table1[[#This Row],[Total Shipped]]:Table1[[#This Row],[Total Sales]],"&lt;&gt;#N/A")</f>
        <v>4.97</v>
      </c>
      <c r="P640">
        <f>_xlfn.MAXIFS(Table1[[#This Row],[VGChartz Score]:[User Score]],Table1[[#This Row],[VGChartz Score]:[User Score]],"&lt;&gt;#N/A")</f>
        <v>7.2</v>
      </c>
    </row>
    <row r="641" spans="1:16" hidden="1" x14ac:dyDescent="0.2">
      <c r="A641">
        <f t="shared" si="12"/>
        <v>640</v>
      </c>
      <c r="B641">
        <v>40</v>
      </c>
      <c r="C641" t="s">
        <v>138</v>
      </c>
      <c r="D641" t="s">
        <v>232</v>
      </c>
      <c r="E641" t="s">
        <v>290</v>
      </c>
      <c r="F641" t="s">
        <v>233</v>
      </c>
      <c r="G641" t="e">
        <v>#N/A</v>
      </c>
      <c r="H641" t="e">
        <v>#N/A</v>
      </c>
      <c r="I641" t="e">
        <v>#N/A</v>
      </c>
      <c r="J641" s="2" t="e">
        <v>#N/A</v>
      </c>
      <c r="K641" s="2">
        <v>4.83</v>
      </c>
      <c r="L641" t="s">
        <v>390</v>
      </c>
      <c r="M641" t="s">
        <v>305</v>
      </c>
      <c r="N641">
        <f>2000+RIGHT(Table1[[#This Row],[Release Date]],2)</f>
        <v>2017</v>
      </c>
      <c r="O641">
        <f>_xlfn.MAXIFS(Table1[[#This Row],[Total Shipped]]:Table1[[#This Row],[Total Sales]],Table1[[#This Row],[Total Shipped]]:Table1[[#This Row],[Total Sales]],"&lt;&gt;#N/A")</f>
        <v>4.83</v>
      </c>
      <c r="P641">
        <f>_xlfn.MAXIFS(Table1[[#This Row],[VGChartz Score]:[User Score]],Table1[[#This Row],[VGChartz Score]:[User Score]],"&lt;&gt;#N/A")</f>
        <v>0</v>
      </c>
    </row>
    <row r="642" spans="1:16" hidden="1" x14ac:dyDescent="0.2">
      <c r="A642">
        <f t="shared" si="12"/>
        <v>641</v>
      </c>
      <c r="B642">
        <v>41</v>
      </c>
      <c r="C642" t="s">
        <v>138</v>
      </c>
      <c r="D642" t="s">
        <v>391</v>
      </c>
      <c r="E642" t="s">
        <v>290</v>
      </c>
      <c r="F642" t="s">
        <v>392</v>
      </c>
      <c r="G642" t="e">
        <v>#N/A</v>
      </c>
      <c r="H642">
        <v>8.8000000000000007</v>
      </c>
      <c r="I642" t="e">
        <v>#N/A</v>
      </c>
      <c r="J642" s="1" t="e">
        <v>#N/A</v>
      </c>
      <c r="K642" s="1">
        <v>4.54</v>
      </c>
      <c r="L642" t="s">
        <v>393</v>
      </c>
      <c r="M642" t="s">
        <v>340</v>
      </c>
      <c r="N642">
        <f>2000+RIGHT(Table1[[#This Row],[Release Date]],2)</f>
        <v>2016</v>
      </c>
      <c r="O642">
        <f>_xlfn.MAXIFS(Table1[[#This Row],[Total Shipped]]:Table1[[#This Row],[Total Sales]],Table1[[#This Row],[Total Shipped]]:Table1[[#This Row],[Total Sales]],"&lt;&gt;#N/A")</f>
        <v>4.54</v>
      </c>
      <c r="P642">
        <f>_xlfn.MAXIFS(Table1[[#This Row],[VGChartz Score]:[User Score]],Table1[[#This Row],[VGChartz Score]:[User Score]],"&lt;&gt;#N/A")</f>
        <v>8.8000000000000007</v>
      </c>
    </row>
    <row r="643" spans="1:16" hidden="1" x14ac:dyDescent="0.2">
      <c r="A643">
        <f t="shared" si="12"/>
        <v>642</v>
      </c>
      <c r="B643">
        <v>42</v>
      </c>
      <c r="C643" t="s">
        <v>138</v>
      </c>
      <c r="D643" t="s">
        <v>394</v>
      </c>
      <c r="E643" t="s">
        <v>290</v>
      </c>
      <c r="F643" t="s">
        <v>324</v>
      </c>
      <c r="G643" t="e">
        <v>#N/A</v>
      </c>
      <c r="H643" t="e">
        <v>#N/A</v>
      </c>
      <c r="I643" t="e">
        <v>#N/A</v>
      </c>
      <c r="J643" s="2" t="e">
        <v>#N/A</v>
      </c>
      <c r="K643" s="2">
        <v>4.53</v>
      </c>
      <c r="L643" t="s">
        <v>223</v>
      </c>
      <c r="M643" t="s">
        <v>395</v>
      </c>
      <c r="N643">
        <f>2000+RIGHT(Table1[[#This Row],[Release Date]],2)</f>
        <v>2017</v>
      </c>
      <c r="O643">
        <f>_xlfn.MAXIFS(Table1[[#This Row],[Total Shipped]]:Table1[[#This Row],[Total Sales]],Table1[[#This Row],[Total Shipped]]:Table1[[#This Row],[Total Sales]],"&lt;&gt;#N/A")</f>
        <v>4.53</v>
      </c>
      <c r="P643">
        <f>_xlfn.MAXIFS(Table1[[#This Row],[VGChartz Score]:[User Score]],Table1[[#This Row],[VGChartz Score]:[User Score]],"&lt;&gt;#N/A")</f>
        <v>0</v>
      </c>
    </row>
    <row r="644" spans="1:16" hidden="1" x14ac:dyDescent="0.2">
      <c r="A644">
        <f t="shared" si="12"/>
        <v>643</v>
      </c>
      <c r="B644">
        <v>43</v>
      </c>
      <c r="C644" t="s">
        <v>138</v>
      </c>
      <c r="D644" t="s">
        <v>174</v>
      </c>
      <c r="E644" t="s">
        <v>290</v>
      </c>
      <c r="F644" t="s">
        <v>175</v>
      </c>
      <c r="G644" t="e">
        <v>#N/A</v>
      </c>
      <c r="H644">
        <v>7.1</v>
      </c>
      <c r="I644" t="e">
        <v>#N/A</v>
      </c>
      <c r="J644" s="1">
        <v>4.47</v>
      </c>
      <c r="K644" s="1" t="e">
        <v>#N/A</v>
      </c>
      <c r="L644" t="s">
        <v>396</v>
      </c>
      <c r="M644" t="s">
        <v>397</v>
      </c>
      <c r="N644">
        <f>2000+RIGHT(Table1[[#This Row],[Release Date]],2)</f>
        <v>2016</v>
      </c>
      <c r="O644">
        <f>_xlfn.MAXIFS(Table1[[#This Row],[Total Shipped]]:Table1[[#This Row],[Total Sales]],Table1[[#This Row],[Total Shipped]]:Table1[[#This Row],[Total Sales]],"&lt;&gt;#N/A")</f>
        <v>4.47</v>
      </c>
      <c r="P644">
        <f>_xlfn.MAXIFS(Table1[[#This Row],[VGChartz Score]:[User Score]],Table1[[#This Row],[VGChartz Score]:[User Score]],"&lt;&gt;#N/A")</f>
        <v>7.1</v>
      </c>
    </row>
    <row r="645" spans="1:16" hidden="1" x14ac:dyDescent="0.2">
      <c r="A645">
        <f t="shared" si="12"/>
        <v>644</v>
      </c>
      <c r="B645">
        <v>44</v>
      </c>
      <c r="C645" t="s">
        <v>138</v>
      </c>
      <c r="D645" t="s">
        <v>398</v>
      </c>
      <c r="E645" t="s">
        <v>290</v>
      </c>
      <c r="F645" t="s">
        <v>291</v>
      </c>
      <c r="G645">
        <v>4</v>
      </c>
      <c r="H645" t="e">
        <v>#N/A</v>
      </c>
      <c r="I645" t="e">
        <v>#N/A</v>
      </c>
      <c r="J645" s="2">
        <v>4.3899999999999997</v>
      </c>
      <c r="K645" s="2" t="e">
        <v>#N/A</v>
      </c>
      <c r="L645" t="s">
        <v>399</v>
      </c>
      <c r="M645" t="s">
        <v>400</v>
      </c>
      <c r="N645">
        <f>2000+RIGHT(Table1[[#This Row],[Release Date]],2)</f>
        <v>2019</v>
      </c>
      <c r="O645">
        <f>_xlfn.MAXIFS(Table1[[#This Row],[Total Shipped]]:Table1[[#This Row],[Total Sales]],Table1[[#This Row],[Total Shipped]]:Table1[[#This Row],[Total Sales]],"&lt;&gt;#N/A")</f>
        <v>4.3899999999999997</v>
      </c>
      <c r="P645">
        <f>_xlfn.MAXIFS(Table1[[#This Row],[VGChartz Score]:[User Score]],Table1[[#This Row],[VGChartz Score]:[User Score]],"&lt;&gt;#N/A")</f>
        <v>4</v>
      </c>
    </row>
    <row r="646" spans="1:16" hidden="1" x14ac:dyDescent="0.2">
      <c r="A646">
        <f t="shared" si="12"/>
        <v>645</v>
      </c>
      <c r="B646">
        <v>45</v>
      </c>
      <c r="C646" t="s">
        <v>138</v>
      </c>
      <c r="D646" t="s">
        <v>401</v>
      </c>
      <c r="E646" t="s">
        <v>290</v>
      </c>
      <c r="F646" t="s">
        <v>151</v>
      </c>
      <c r="G646" t="e">
        <v>#N/A</v>
      </c>
      <c r="H646" t="e">
        <v>#N/A</v>
      </c>
      <c r="I646" t="e">
        <v>#N/A</v>
      </c>
      <c r="J646" s="1" t="e">
        <v>#N/A</v>
      </c>
      <c r="K646" s="1">
        <v>4.37</v>
      </c>
      <c r="L646" t="s">
        <v>402</v>
      </c>
      <c r="M646" t="s">
        <v>85</v>
      </c>
      <c r="N646">
        <f>2000+RIGHT(Table1[[#This Row],[Release Date]],2)</f>
        <v>2016</v>
      </c>
      <c r="O646">
        <f>_xlfn.MAXIFS(Table1[[#This Row],[Total Shipped]]:Table1[[#This Row],[Total Sales]],Table1[[#This Row],[Total Shipped]]:Table1[[#This Row],[Total Sales]],"&lt;&gt;#N/A")</f>
        <v>4.37</v>
      </c>
      <c r="P646">
        <f>_xlfn.MAXIFS(Table1[[#This Row],[VGChartz Score]:[User Score]],Table1[[#This Row],[VGChartz Score]:[User Score]],"&lt;&gt;#N/A")</f>
        <v>0</v>
      </c>
    </row>
    <row r="647" spans="1:16" hidden="1" x14ac:dyDescent="0.2">
      <c r="A647">
        <f t="shared" si="12"/>
        <v>646</v>
      </c>
      <c r="B647">
        <v>46</v>
      </c>
      <c r="C647" t="s">
        <v>138</v>
      </c>
      <c r="D647" t="s">
        <v>403</v>
      </c>
      <c r="E647" t="s">
        <v>290</v>
      </c>
      <c r="F647" t="s">
        <v>151</v>
      </c>
      <c r="G647" t="e">
        <v>#N/A</v>
      </c>
      <c r="H647" t="e">
        <v>#N/A</v>
      </c>
      <c r="I647" t="e">
        <v>#N/A</v>
      </c>
      <c r="J647" s="2" t="e">
        <v>#N/A</v>
      </c>
      <c r="K647" s="2">
        <v>4.3600000000000003</v>
      </c>
      <c r="L647" t="s">
        <v>404</v>
      </c>
      <c r="M647" t="s">
        <v>405</v>
      </c>
      <c r="N647">
        <f>2000+RIGHT(Table1[[#This Row],[Release Date]],2)</f>
        <v>2015</v>
      </c>
      <c r="O647">
        <f>_xlfn.MAXIFS(Table1[[#This Row],[Total Shipped]]:Table1[[#This Row],[Total Sales]],Table1[[#This Row],[Total Shipped]]:Table1[[#This Row],[Total Sales]],"&lt;&gt;#N/A")</f>
        <v>4.3600000000000003</v>
      </c>
      <c r="P647">
        <f>_xlfn.MAXIFS(Table1[[#This Row],[VGChartz Score]:[User Score]],Table1[[#This Row],[VGChartz Score]:[User Score]],"&lt;&gt;#N/A")</f>
        <v>0</v>
      </c>
    </row>
    <row r="648" spans="1:16" hidden="1" x14ac:dyDescent="0.2">
      <c r="A648">
        <f t="shared" si="12"/>
        <v>647</v>
      </c>
      <c r="B648">
        <v>47</v>
      </c>
      <c r="C648" t="s">
        <v>138</v>
      </c>
      <c r="D648" t="s">
        <v>406</v>
      </c>
      <c r="E648" t="s">
        <v>290</v>
      </c>
      <c r="F648" t="s">
        <v>151</v>
      </c>
      <c r="G648">
        <v>8.6999999999999993</v>
      </c>
      <c r="H648" t="e">
        <v>#N/A</v>
      </c>
      <c r="I648" t="e">
        <v>#N/A</v>
      </c>
      <c r="J648" s="1" t="e">
        <v>#N/A</v>
      </c>
      <c r="K648" s="1">
        <v>4.32</v>
      </c>
      <c r="L648" t="s">
        <v>407</v>
      </c>
      <c r="M648" t="s">
        <v>188</v>
      </c>
      <c r="N648">
        <f>2000+RIGHT(Table1[[#This Row],[Release Date]],2)</f>
        <v>2014</v>
      </c>
      <c r="O648">
        <f>_xlfn.MAXIFS(Table1[[#This Row],[Total Shipped]]:Table1[[#This Row],[Total Sales]],Table1[[#This Row],[Total Shipped]]:Table1[[#This Row],[Total Sales]],"&lt;&gt;#N/A")</f>
        <v>4.32</v>
      </c>
      <c r="P648">
        <f>_xlfn.MAXIFS(Table1[[#This Row],[VGChartz Score]:[User Score]],Table1[[#This Row],[VGChartz Score]:[User Score]],"&lt;&gt;#N/A")</f>
        <v>8.6999999999999993</v>
      </c>
    </row>
    <row r="649" spans="1:16" hidden="1" x14ac:dyDescent="0.2">
      <c r="A649">
        <f t="shared" si="12"/>
        <v>648</v>
      </c>
      <c r="B649">
        <v>48</v>
      </c>
      <c r="C649" t="s">
        <v>138</v>
      </c>
      <c r="D649" t="s">
        <v>128</v>
      </c>
      <c r="E649" t="s">
        <v>290</v>
      </c>
      <c r="F649" t="s">
        <v>175</v>
      </c>
      <c r="G649">
        <v>7</v>
      </c>
      <c r="H649" t="e">
        <v>#N/A</v>
      </c>
      <c r="I649" t="e">
        <v>#N/A</v>
      </c>
      <c r="J649" s="2">
        <v>4.3099999999999996</v>
      </c>
      <c r="K649" s="2" t="e">
        <v>#N/A</v>
      </c>
      <c r="L649" t="s">
        <v>408</v>
      </c>
      <c r="M649" t="s">
        <v>246</v>
      </c>
      <c r="N649">
        <f>2000+RIGHT(Table1[[#This Row],[Release Date]],2)</f>
        <v>2018</v>
      </c>
      <c r="O649">
        <f>_xlfn.MAXIFS(Table1[[#This Row],[Total Shipped]]:Table1[[#This Row],[Total Sales]],Table1[[#This Row],[Total Shipped]]:Table1[[#This Row],[Total Sales]],"&lt;&gt;#N/A")</f>
        <v>4.3099999999999996</v>
      </c>
      <c r="P649">
        <f>_xlfn.MAXIFS(Table1[[#This Row],[VGChartz Score]:[User Score]],Table1[[#This Row],[VGChartz Score]:[User Score]],"&lt;&gt;#N/A")</f>
        <v>7</v>
      </c>
    </row>
    <row r="650" spans="1:16" hidden="1" x14ac:dyDescent="0.2">
      <c r="A650">
        <f t="shared" ref="A650:A703" si="13">ROW()-1</f>
        <v>649</v>
      </c>
      <c r="B650">
        <v>49</v>
      </c>
      <c r="C650" t="s">
        <v>138</v>
      </c>
      <c r="D650" t="s">
        <v>409</v>
      </c>
      <c r="E650" t="s">
        <v>290</v>
      </c>
      <c r="F650" t="s">
        <v>175</v>
      </c>
      <c r="G650" t="e">
        <v>#N/A</v>
      </c>
      <c r="H650" t="e">
        <v>#N/A</v>
      </c>
      <c r="I650" t="e">
        <v>#N/A</v>
      </c>
      <c r="J650" s="1">
        <v>4.3</v>
      </c>
      <c r="K650" s="1" t="e">
        <v>#N/A</v>
      </c>
      <c r="L650" t="s">
        <v>410</v>
      </c>
      <c r="M650" t="s">
        <v>411</v>
      </c>
      <c r="N650">
        <f>2000+RIGHT(Table1[[#This Row],[Release Date]],2)</f>
        <v>2016</v>
      </c>
      <c r="O650">
        <f>_xlfn.MAXIFS(Table1[[#This Row],[Total Shipped]]:Table1[[#This Row],[Total Sales]],Table1[[#This Row],[Total Shipped]]:Table1[[#This Row],[Total Sales]],"&lt;&gt;#N/A")</f>
        <v>4.3</v>
      </c>
      <c r="P650">
        <f>_xlfn.MAXIFS(Table1[[#This Row],[VGChartz Score]:[User Score]],Table1[[#This Row],[VGChartz Score]:[User Score]],"&lt;&gt;#N/A")</f>
        <v>0</v>
      </c>
    </row>
    <row r="651" spans="1:16" hidden="1" x14ac:dyDescent="0.2">
      <c r="A651">
        <f t="shared" si="13"/>
        <v>650</v>
      </c>
      <c r="B651">
        <v>50</v>
      </c>
      <c r="C651" t="s">
        <v>138</v>
      </c>
      <c r="D651" t="s">
        <v>412</v>
      </c>
      <c r="E651" t="s">
        <v>290</v>
      </c>
      <c r="F651" t="s">
        <v>233</v>
      </c>
      <c r="G651">
        <v>6.2</v>
      </c>
      <c r="H651">
        <v>7.5</v>
      </c>
      <c r="I651" t="e">
        <v>#N/A</v>
      </c>
      <c r="J651" s="2" t="e">
        <v>#N/A</v>
      </c>
      <c r="K651" s="2">
        <v>4.17</v>
      </c>
      <c r="L651" t="s">
        <v>413</v>
      </c>
      <c r="M651" t="s">
        <v>414</v>
      </c>
      <c r="N651">
        <f>2000+RIGHT(Table1[[#This Row],[Release Date]],2)</f>
        <v>2013</v>
      </c>
      <c r="O651">
        <f>_xlfn.MAXIFS(Table1[[#This Row],[Total Shipped]]:Table1[[#This Row],[Total Sales]],Table1[[#This Row],[Total Shipped]]:Table1[[#This Row],[Total Sales]],"&lt;&gt;#N/A")</f>
        <v>4.17</v>
      </c>
      <c r="P651">
        <f>_xlfn.MAXIFS(Table1[[#This Row],[VGChartz Score]:[User Score]],Table1[[#This Row],[VGChartz Score]:[User Score]],"&lt;&gt;#N/A")</f>
        <v>7.5</v>
      </c>
    </row>
    <row r="652" spans="1:16" hidden="1" x14ac:dyDescent="0.2">
      <c r="A652">
        <f t="shared" si="13"/>
        <v>651</v>
      </c>
      <c r="B652">
        <v>51</v>
      </c>
      <c r="C652" t="s">
        <v>138</v>
      </c>
      <c r="D652" t="s">
        <v>415</v>
      </c>
      <c r="E652" t="s">
        <v>290</v>
      </c>
      <c r="F652" t="s">
        <v>151</v>
      </c>
      <c r="G652" t="e">
        <v>#N/A</v>
      </c>
      <c r="H652" t="e">
        <v>#N/A</v>
      </c>
      <c r="I652" t="e">
        <v>#N/A</v>
      </c>
      <c r="J652" s="1" t="e">
        <v>#N/A</v>
      </c>
      <c r="K652" s="1">
        <v>4.1399999999999997</v>
      </c>
      <c r="L652" t="s">
        <v>416</v>
      </c>
      <c r="M652" t="s">
        <v>85</v>
      </c>
      <c r="N652">
        <f>2000+RIGHT(Table1[[#This Row],[Release Date]],2)</f>
        <v>2014</v>
      </c>
      <c r="O652">
        <f>_xlfn.MAXIFS(Table1[[#This Row],[Total Shipped]]:Table1[[#This Row],[Total Sales]],Table1[[#This Row],[Total Shipped]]:Table1[[#This Row],[Total Sales]],"&lt;&gt;#N/A")</f>
        <v>4.1399999999999997</v>
      </c>
      <c r="P652">
        <f>_xlfn.MAXIFS(Table1[[#This Row],[VGChartz Score]:[User Score]],Table1[[#This Row],[VGChartz Score]:[User Score]],"&lt;&gt;#N/A")</f>
        <v>0</v>
      </c>
    </row>
    <row r="653" spans="1:16" hidden="1" x14ac:dyDescent="0.2">
      <c r="A653">
        <f t="shared" si="13"/>
        <v>652</v>
      </c>
      <c r="B653">
        <v>52</v>
      </c>
      <c r="C653" t="s">
        <v>138</v>
      </c>
      <c r="D653" t="s">
        <v>417</v>
      </c>
      <c r="E653" t="s">
        <v>290</v>
      </c>
      <c r="F653" t="s">
        <v>233</v>
      </c>
      <c r="G653" t="e">
        <v>#N/A</v>
      </c>
      <c r="H653" t="e">
        <v>#N/A</v>
      </c>
      <c r="I653" t="e">
        <v>#N/A</v>
      </c>
      <c r="J653" s="2" t="e">
        <v>#N/A</v>
      </c>
      <c r="K653" s="2">
        <v>4.1399999999999997</v>
      </c>
      <c r="L653" t="s">
        <v>418</v>
      </c>
      <c r="M653" t="s">
        <v>195</v>
      </c>
      <c r="N653">
        <f>2000+RIGHT(Table1[[#This Row],[Release Date]],2)</f>
        <v>2017</v>
      </c>
      <c r="O653">
        <f>_xlfn.MAXIFS(Table1[[#This Row],[Total Shipped]]:Table1[[#This Row],[Total Sales]],Table1[[#This Row],[Total Shipped]]:Table1[[#This Row],[Total Sales]],"&lt;&gt;#N/A")</f>
        <v>4.1399999999999997</v>
      </c>
      <c r="P653">
        <f>_xlfn.MAXIFS(Table1[[#This Row],[VGChartz Score]:[User Score]],Table1[[#This Row],[VGChartz Score]:[User Score]],"&lt;&gt;#N/A")</f>
        <v>0</v>
      </c>
    </row>
    <row r="654" spans="1:16" hidden="1" x14ac:dyDescent="0.2">
      <c r="A654">
        <f t="shared" si="13"/>
        <v>653</v>
      </c>
      <c r="B654">
        <v>53</v>
      </c>
      <c r="C654" t="s">
        <v>138</v>
      </c>
      <c r="D654" t="s">
        <v>419</v>
      </c>
      <c r="E654" t="s">
        <v>290</v>
      </c>
      <c r="F654" t="s">
        <v>420</v>
      </c>
      <c r="G654" t="e">
        <v>#N/A</v>
      </c>
      <c r="H654">
        <v>8.1</v>
      </c>
      <c r="I654" t="e">
        <v>#N/A</v>
      </c>
      <c r="J654" s="1" t="e">
        <v>#N/A</v>
      </c>
      <c r="K654" s="1">
        <v>4.1100000000000003</v>
      </c>
      <c r="L654" t="s">
        <v>421</v>
      </c>
      <c r="M654" t="s">
        <v>353</v>
      </c>
      <c r="N654">
        <f>2000+RIGHT(Table1[[#This Row],[Release Date]],2)</f>
        <v>2015</v>
      </c>
      <c r="O654">
        <f>_xlfn.MAXIFS(Table1[[#This Row],[Total Shipped]]:Table1[[#This Row],[Total Sales]],Table1[[#This Row],[Total Shipped]]:Table1[[#This Row],[Total Sales]],"&lt;&gt;#N/A")</f>
        <v>4.1100000000000003</v>
      </c>
      <c r="P654">
        <f>_xlfn.MAXIFS(Table1[[#This Row],[VGChartz Score]:[User Score]],Table1[[#This Row],[VGChartz Score]:[User Score]],"&lt;&gt;#N/A")</f>
        <v>8.1</v>
      </c>
    </row>
    <row r="655" spans="1:16" hidden="1" x14ac:dyDescent="0.2">
      <c r="A655">
        <f t="shared" si="13"/>
        <v>654</v>
      </c>
      <c r="B655">
        <v>54</v>
      </c>
      <c r="C655" t="s">
        <v>138</v>
      </c>
      <c r="D655" t="s">
        <v>422</v>
      </c>
      <c r="E655" t="s">
        <v>290</v>
      </c>
      <c r="F655" t="s">
        <v>151</v>
      </c>
      <c r="G655" t="e">
        <v>#N/A</v>
      </c>
      <c r="H655" t="e">
        <v>#N/A</v>
      </c>
      <c r="I655" t="e">
        <v>#N/A</v>
      </c>
      <c r="J655" s="2" t="e">
        <v>#N/A</v>
      </c>
      <c r="K655" s="2">
        <v>4.0599999999999996</v>
      </c>
      <c r="L655" t="s">
        <v>13</v>
      </c>
      <c r="M655" t="s">
        <v>423</v>
      </c>
      <c r="N655">
        <f>2000+RIGHT(Table1[[#This Row],[Release Date]],2)</f>
        <v>2017</v>
      </c>
      <c r="O655">
        <f>_xlfn.MAXIFS(Table1[[#This Row],[Total Shipped]]:Table1[[#This Row],[Total Sales]],Table1[[#This Row],[Total Shipped]]:Table1[[#This Row],[Total Sales]],"&lt;&gt;#N/A")</f>
        <v>4.0599999999999996</v>
      </c>
      <c r="P655">
        <f>_xlfn.MAXIFS(Table1[[#This Row],[VGChartz Score]:[User Score]],Table1[[#This Row],[VGChartz Score]:[User Score]],"&lt;&gt;#N/A")</f>
        <v>0</v>
      </c>
    </row>
    <row r="656" spans="1:16" hidden="1" x14ac:dyDescent="0.2">
      <c r="A656">
        <f t="shared" si="13"/>
        <v>655</v>
      </c>
      <c r="B656">
        <v>55</v>
      </c>
      <c r="C656" t="s">
        <v>138</v>
      </c>
      <c r="D656" t="s">
        <v>424</v>
      </c>
      <c r="E656" t="s">
        <v>290</v>
      </c>
      <c r="F656" t="s">
        <v>151</v>
      </c>
      <c r="G656" t="e">
        <v>#N/A</v>
      </c>
      <c r="H656">
        <v>8.4</v>
      </c>
      <c r="I656" t="e">
        <v>#N/A</v>
      </c>
      <c r="J656" s="1" t="e">
        <v>#N/A</v>
      </c>
      <c r="K656" s="1">
        <v>4.0599999999999996</v>
      </c>
      <c r="L656" t="s">
        <v>298</v>
      </c>
      <c r="M656" t="s">
        <v>425</v>
      </c>
      <c r="N656">
        <f>2000+RIGHT(Table1[[#This Row],[Release Date]],2)</f>
        <v>2014</v>
      </c>
      <c r="O656">
        <f>_xlfn.MAXIFS(Table1[[#This Row],[Total Shipped]]:Table1[[#This Row],[Total Sales]],Table1[[#This Row],[Total Shipped]]:Table1[[#This Row],[Total Sales]],"&lt;&gt;#N/A")</f>
        <v>4.0599999999999996</v>
      </c>
      <c r="P656">
        <f>_xlfn.MAXIFS(Table1[[#This Row],[VGChartz Score]:[User Score]],Table1[[#This Row],[VGChartz Score]:[User Score]],"&lt;&gt;#N/A")</f>
        <v>8.4</v>
      </c>
    </row>
    <row r="657" spans="1:16" hidden="1" x14ac:dyDescent="0.2">
      <c r="A657">
        <f t="shared" si="13"/>
        <v>656</v>
      </c>
      <c r="B657">
        <v>56</v>
      </c>
      <c r="C657" t="s">
        <v>138</v>
      </c>
      <c r="D657" t="s">
        <v>426</v>
      </c>
      <c r="E657" t="s">
        <v>290</v>
      </c>
      <c r="F657" t="s">
        <v>307</v>
      </c>
      <c r="G657" t="e">
        <v>#N/A</v>
      </c>
      <c r="H657" t="e">
        <v>#N/A</v>
      </c>
      <c r="I657" t="e">
        <v>#N/A</v>
      </c>
      <c r="J657" s="2">
        <v>4.04</v>
      </c>
      <c r="K657" s="2" t="e">
        <v>#N/A</v>
      </c>
      <c r="L657" t="s">
        <v>427</v>
      </c>
      <c r="M657" t="s">
        <v>363</v>
      </c>
      <c r="N657">
        <f>2000+RIGHT(Table1[[#This Row],[Release Date]],2)</f>
        <v>2015</v>
      </c>
      <c r="O657">
        <f>_xlfn.MAXIFS(Table1[[#This Row],[Total Shipped]]:Table1[[#This Row],[Total Sales]],Table1[[#This Row],[Total Shipped]]:Table1[[#This Row],[Total Sales]],"&lt;&gt;#N/A")</f>
        <v>4.04</v>
      </c>
      <c r="P657">
        <f>_xlfn.MAXIFS(Table1[[#This Row],[VGChartz Score]:[User Score]],Table1[[#This Row],[VGChartz Score]:[User Score]],"&lt;&gt;#N/A")</f>
        <v>0</v>
      </c>
    </row>
    <row r="658" spans="1:16" hidden="1" x14ac:dyDescent="0.2">
      <c r="A658">
        <f t="shared" si="13"/>
        <v>657</v>
      </c>
      <c r="B658">
        <v>57</v>
      </c>
      <c r="C658" t="s">
        <v>138</v>
      </c>
      <c r="D658" t="s">
        <v>428</v>
      </c>
      <c r="E658" t="s">
        <v>290</v>
      </c>
      <c r="F658" t="s">
        <v>69</v>
      </c>
      <c r="G658" t="e">
        <v>#N/A</v>
      </c>
      <c r="H658">
        <v>9.3000000000000007</v>
      </c>
      <c r="I658">
        <v>9</v>
      </c>
      <c r="J658" s="1">
        <v>4</v>
      </c>
      <c r="K658" s="1" t="e">
        <v>#N/A</v>
      </c>
      <c r="L658" t="s">
        <v>408</v>
      </c>
      <c r="M658" t="s">
        <v>429</v>
      </c>
      <c r="N658">
        <f>2000+RIGHT(Table1[[#This Row],[Release Date]],2)</f>
        <v>2018</v>
      </c>
      <c r="O658">
        <f>_xlfn.MAXIFS(Table1[[#This Row],[Total Shipped]]:Table1[[#This Row],[Total Sales]],Table1[[#This Row],[Total Shipped]]:Table1[[#This Row],[Total Sales]],"&lt;&gt;#N/A")</f>
        <v>4</v>
      </c>
      <c r="P658">
        <f>_xlfn.MAXIFS(Table1[[#This Row],[VGChartz Score]:[User Score]],Table1[[#This Row],[VGChartz Score]:[User Score]],"&lt;&gt;#N/A")</f>
        <v>9.3000000000000007</v>
      </c>
    </row>
    <row r="659" spans="1:16" hidden="1" x14ac:dyDescent="0.2">
      <c r="A659">
        <f t="shared" si="13"/>
        <v>658</v>
      </c>
      <c r="B659">
        <v>58</v>
      </c>
      <c r="C659" t="s">
        <v>138</v>
      </c>
      <c r="D659" t="s">
        <v>430</v>
      </c>
      <c r="E659" t="s">
        <v>290</v>
      </c>
      <c r="F659" t="s">
        <v>431</v>
      </c>
      <c r="G659" t="e">
        <v>#N/A</v>
      </c>
      <c r="H659">
        <v>8.6999999999999993</v>
      </c>
      <c r="I659" t="e">
        <v>#N/A</v>
      </c>
      <c r="J659" s="2" t="e">
        <v>#N/A</v>
      </c>
      <c r="K659" s="2">
        <v>3.98</v>
      </c>
      <c r="L659" t="s">
        <v>432</v>
      </c>
      <c r="M659" t="s">
        <v>326</v>
      </c>
      <c r="N659">
        <f>2000+RIGHT(Table1[[#This Row],[Release Date]],2)</f>
        <v>2015</v>
      </c>
      <c r="O659">
        <f>_xlfn.MAXIFS(Table1[[#This Row],[Total Shipped]]:Table1[[#This Row],[Total Sales]],Table1[[#This Row],[Total Shipped]]:Table1[[#This Row],[Total Sales]],"&lt;&gt;#N/A")</f>
        <v>3.98</v>
      </c>
      <c r="P659">
        <f>_xlfn.MAXIFS(Table1[[#This Row],[VGChartz Score]:[User Score]],Table1[[#This Row],[VGChartz Score]:[User Score]],"&lt;&gt;#N/A")</f>
        <v>8.6999999999999993</v>
      </c>
    </row>
    <row r="660" spans="1:16" hidden="1" x14ac:dyDescent="0.2">
      <c r="A660">
        <f t="shared" si="13"/>
        <v>659</v>
      </c>
      <c r="B660">
        <v>59</v>
      </c>
      <c r="C660" t="s">
        <v>138</v>
      </c>
      <c r="D660" t="s">
        <v>433</v>
      </c>
      <c r="E660" t="s">
        <v>290</v>
      </c>
      <c r="F660" t="s">
        <v>151</v>
      </c>
      <c r="G660" t="e">
        <v>#N/A</v>
      </c>
      <c r="H660">
        <v>7.9</v>
      </c>
      <c r="I660" t="e">
        <v>#N/A</v>
      </c>
      <c r="J660" s="1" t="e">
        <v>#N/A</v>
      </c>
      <c r="K660" s="1">
        <v>3.95</v>
      </c>
      <c r="L660" t="s">
        <v>434</v>
      </c>
      <c r="M660" t="s">
        <v>435</v>
      </c>
      <c r="N660">
        <f>2000+RIGHT(Table1[[#This Row],[Release Date]],2)</f>
        <v>2018</v>
      </c>
      <c r="O660">
        <f>_xlfn.MAXIFS(Table1[[#This Row],[Total Shipped]]:Table1[[#This Row],[Total Sales]],Table1[[#This Row],[Total Shipped]]:Table1[[#This Row],[Total Sales]],"&lt;&gt;#N/A")</f>
        <v>3.95</v>
      </c>
      <c r="P660">
        <f>_xlfn.MAXIFS(Table1[[#This Row],[VGChartz Score]:[User Score]],Table1[[#This Row],[VGChartz Score]:[User Score]],"&lt;&gt;#N/A")</f>
        <v>7.9</v>
      </c>
    </row>
    <row r="661" spans="1:16" hidden="1" x14ac:dyDescent="0.2">
      <c r="A661">
        <f t="shared" si="13"/>
        <v>660</v>
      </c>
      <c r="B661">
        <v>60</v>
      </c>
      <c r="C661" t="s">
        <v>138</v>
      </c>
      <c r="D661" t="s">
        <v>436</v>
      </c>
      <c r="E661" t="s">
        <v>290</v>
      </c>
      <c r="F661" t="s">
        <v>324</v>
      </c>
      <c r="G661" t="e">
        <v>#N/A</v>
      </c>
      <c r="H661">
        <v>8.3000000000000007</v>
      </c>
      <c r="I661" t="e">
        <v>#N/A</v>
      </c>
      <c r="J661" s="2" t="e">
        <v>#N/A</v>
      </c>
      <c r="K661" s="2">
        <v>3.94</v>
      </c>
      <c r="L661" t="s">
        <v>413</v>
      </c>
      <c r="M661" t="s">
        <v>437</v>
      </c>
      <c r="N661">
        <f>2000+RIGHT(Table1[[#This Row],[Release Date]],2)</f>
        <v>2013</v>
      </c>
      <c r="O661">
        <f>_xlfn.MAXIFS(Table1[[#This Row],[Total Shipped]]:Table1[[#This Row],[Total Sales]],Table1[[#This Row],[Total Shipped]]:Table1[[#This Row],[Total Sales]],"&lt;&gt;#N/A")</f>
        <v>3.94</v>
      </c>
      <c r="P661">
        <f>_xlfn.MAXIFS(Table1[[#This Row],[VGChartz Score]:[User Score]],Table1[[#This Row],[VGChartz Score]:[User Score]],"&lt;&gt;#N/A")</f>
        <v>8.3000000000000007</v>
      </c>
    </row>
    <row r="662" spans="1:16" hidden="1" x14ac:dyDescent="0.2">
      <c r="A662">
        <f t="shared" si="13"/>
        <v>661</v>
      </c>
      <c r="B662">
        <v>61</v>
      </c>
      <c r="C662" t="s">
        <v>138</v>
      </c>
      <c r="D662" t="s">
        <v>438</v>
      </c>
      <c r="E662" t="s">
        <v>290</v>
      </c>
      <c r="F662" t="s">
        <v>175</v>
      </c>
      <c r="G662" t="e">
        <v>#N/A</v>
      </c>
      <c r="H662" t="e">
        <v>#N/A</v>
      </c>
      <c r="I662" t="e">
        <v>#N/A</v>
      </c>
      <c r="J662" s="1">
        <v>3.91</v>
      </c>
      <c r="K662" s="1" t="e">
        <v>#N/A</v>
      </c>
      <c r="L662" t="s">
        <v>360</v>
      </c>
      <c r="M662" t="s">
        <v>439</v>
      </c>
      <c r="N662">
        <f>2000+RIGHT(Table1[[#This Row],[Release Date]],2)</f>
        <v>2016</v>
      </c>
      <c r="O662">
        <f>_xlfn.MAXIFS(Table1[[#This Row],[Total Shipped]]:Table1[[#This Row],[Total Sales]],Table1[[#This Row],[Total Shipped]]:Table1[[#This Row],[Total Sales]],"&lt;&gt;#N/A")</f>
        <v>3.91</v>
      </c>
      <c r="P662">
        <f>_xlfn.MAXIFS(Table1[[#This Row],[VGChartz Score]:[User Score]],Table1[[#This Row],[VGChartz Score]:[User Score]],"&lt;&gt;#N/A")</f>
        <v>0</v>
      </c>
    </row>
    <row r="663" spans="1:16" hidden="1" x14ac:dyDescent="0.2">
      <c r="A663">
        <f t="shared" si="13"/>
        <v>662</v>
      </c>
      <c r="B663">
        <v>62</v>
      </c>
      <c r="C663" t="s">
        <v>138</v>
      </c>
      <c r="D663" t="s">
        <v>440</v>
      </c>
      <c r="E663" t="s">
        <v>290</v>
      </c>
      <c r="F663" t="s">
        <v>129</v>
      </c>
      <c r="G663" t="e">
        <v>#N/A</v>
      </c>
      <c r="H663" t="e">
        <v>#N/A</v>
      </c>
      <c r="I663" t="e">
        <v>#N/A</v>
      </c>
      <c r="J663" s="2">
        <v>3.85</v>
      </c>
      <c r="K663" s="2" t="e">
        <v>#N/A</v>
      </c>
      <c r="L663" t="s">
        <v>441</v>
      </c>
      <c r="M663" t="s">
        <v>442</v>
      </c>
      <c r="N663">
        <f>2000+RIGHT(Table1[[#This Row],[Release Date]],2)</f>
        <v>2019</v>
      </c>
      <c r="O663">
        <f>_xlfn.MAXIFS(Table1[[#This Row],[Total Shipped]]:Table1[[#This Row],[Total Sales]],Table1[[#This Row],[Total Shipped]]:Table1[[#This Row],[Total Sales]],"&lt;&gt;#N/A")</f>
        <v>3.85</v>
      </c>
      <c r="P663">
        <f>_xlfn.MAXIFS(Table1[[#This Row],[VGChartz Score]:[User Score]],Table1[[#This Row],[VGChartz Score]:[User Score]],"&lt;&gt;#N/A")</f>
        <v>0</v>
      </c>
    </row>
    <row r="664" spans="1:16" hidden="1" x14ac:dyDescent="0.2">
      <c r="A664">
        <f t="shared" si="13"/>
        <v>663</v>
      </c>
      <c r="B664">
        <v>63</v>
      </c>
      <c r="C664" t="s">
        <v>138</v>
      </c>
      <c r="D664" t="s">
        <v>443</v>
      </c>
      <c r="E664" t="s">
        <v>290</v>
      </c>
      <c r="F664" t="s">
        <v>197</v>
      </c>
      <c r="G664">
        <v>8.5</v>
      </c>
      <c r="H664" t="e">
        <v>#N/A</v>
      </c>
      <c r="I664" t="e">
        <v>#N/A</v>
      </c>
      <c r="J664" s="1">
        <v>3.84</v>
      </c>
      <c r="K664" s="1" t="e">
        <v>#N/A</v>
      </c>
      <c r="L664" t="s">
        <v>104</v>
      </c>
      <c r="M664" t="s">
        <v>444</v>
      </c>
      <c r="N664">
        <f>2000+RIGHT(Table1[[#This Row],[Release Date]],2)</f>
        <v>2020</v>
      </c>
      <c r="O664">
        <f>_xlfn.MAXIFS(Table1[[#This Row],[Total Shipped]]:Table1[[#This Row],[Total Sales]],Table1[[#This Row],[Total Shipped]]:Table1[[#This Row],[Total Sales]],"&lt;&gt;#N/A")</f>
        <v>3.84</v>
      </c>
      <c r="P664">
        <f>_xlfn.MAXIFS(Table1[[#This Row],[VGChartz Score]:[User Score]],Table1[[#This Row],[VGChartz Score]:[User Score]],"&lt;&gt;#N/A")</f>
        <v>8.5</v>
      </c>
    </row>
    <row r="665" spans="1:16" hidden="1" x14ac:dyDescent="0.2">
      <c r="A665">
        <f t="shared" si="13"/>
        <v>664</v>
      </c>
      <c r="B665">
        <v>64</v>
      </c>
      <c r="C665" t="s">
        <v>138</v>
      </c>
      <c r="D665" t="s">
        <v>445</v>
      </c>
      <c r="E665" t="s">
        <v>290</v>
      </c>
      <c r="F665" t="s">
        <v>69</v>
      </c>
      <c r="G665" t="e">
        <v>#N/A</v>
      </c>
      <c r="H665">
        <v>8.6</v>
      </c>
      <c r="I665" t="e">
        <v>#N/A</v>
      </c>
      <c r="J665" s="2">
        <v>3.83</v>
      </c>
      <c r="K665" s="2" t="e">
        <v>#N/A</v>
      </c>
      <c r="L665" t="s">
        <v>446</v>
      </c>
      <c r="M665" t="s">
        <v>447</v>
      </c>
      <c r="N665">
        <f>2000+RIGHT(Table1[[#This Row],[Release Date]],2)</f>
        <v>2017</v>
      </c>
      <c r="O665">
        <f>_xlfn.MAXIFS(Table1[[#This Row],[Total Shipped]]:Table1[[#This Row],[Total Sales]],Table1[[#This Row],[Total Shipped]]:Table1[[#This Row],[Total Sales]],"&lt;&gt;#N/A")</f>
        <v>3.83</v>
      </c>
      <c r="P665">
        <f>_xlfn.MAXIFS(Table1[[#This Row],[VGChartz Score]:[User Score]],Table1[[#This Row],[VGChartz Score]:[User Score]],"&lt;&gt;#N/A")</f>
        <v>8.6</v>
      </c>
    </row>
    <row r="666" spans="1:16" hidden="1" x14ac:dyDescent="0.2">
      <c r="A666">
        <f t="shared" si="13"/>
        <v>665</v>
      </c>
      <c r="B666">
        <v>65</v>
      </c>
      <c r="C666" t="s">
        <v>138</v>
      </c>
      <c r="D666" t="s">
        <v>448</v>
      </c>
      <c r="E666" t="s">
        <v>290</v>
      </c>
      <c r="F666" t="s">
        <v>151</v>
      </c>
      <c r="G666" t="e">
        <v>#N/A</v>
      </c>
      <c r="H666">
        <v>8.6</v>
      </c>
      <c r="I666" t="e">
        <v>#N/A</v>
      </c>
      <c r="J666" s="1" t="e">
        <v>#N/A</v>
      </c>
      <c r="K666" s="1">
        <v>3.6</v>
      </c>
      <c r="L666" t="s">
        <v>449</v>
      </c>
      <c r="M666" t="s">
        <v>85</v>
      </c>
      <c r="N666">
        <f>2000+RIGHT(Table1[[#This Row],[Release Date]],2)</f>
        <v>2015</v>
      </c>
      <c r="O666">
        <f>_xlfn.MAXIFS(Table1[[#This Row],[Total Shipped]]:Table1[[#This Row],[Total Sales]],Table1[[#This Row],[Total Shipped]]:Table1[[#This Row],[Total Sales]],"&lt;&gt;#N/A")</f>
        <v>3.6</v>
      </c>
      <c r="P666">
        <f>_xlfn.MAXIFS(Table1[[#This Row],[VGChartz Score]:[User Score]],Table1[[#This Row],[VGChartz Score]:[User Score]],"&lt;&gt;#N/A")</f>
        <v>8.6</v>
      </c>
    </row>
    <row r="667" spans="1:16" hidden="1" x14ac:dyDescent="0.2">
      <c r="A667">
        <f t="shared" si="13"/>
        <v>666</v>
      </c>
      <c r="B667">
        <v>66</v>
      </c>
      <c r="C667" t="s">
        <v>138</v>
      </c>
      <c r="D667" t="s">
        <v>450</v>
      </c>
      <c r="E667" t="s">
        <v>290</v>
      </c>
      <c r="F667" t="s">
        <v>431</v>
      </c>
      <c r="G667" t="e">
        <v>#N/A</v>
      </c>
      <c r="H667">
        <v>9</v>
      </c>
      <c r="I667" t="e">
        <v>#N/A</v>
      </c>
      <c r="J667" s="2" t="e">
        <v>#N/A</v>
      </c>
      <c r="K667" s="2">
        <v>3.52</v>
      </c>
      <c r="L667" t="s">
        <v>451</v>
      </c>
      <c r="M667" t="s">
        <v>326</v>
      </c>
      <c r="N667">
        <f>2000+RIGHT(Table1[[#This Row],[Release Date]],2)</f>
        <v>2016</v>
      </c>
      <c r="O667">
        <f>_xlfn.MAXIFS(Table1[[#This Row],[Total Shipped]]:Table1[[#This Row],[Total Sales]],Table1[[#This Row],[Total Shipped]]:Table1[[#This Row],[Total Sales]],"&lt;&gt;#N/A")</f>
        <v>3.52</v>
      </c>
      <c r="P667">
        <f>_xlfn.MAXIFS(Table1[[#This Row],[VGChartz Score]:[User Score]],Table1[[#This Row],[VGChartz Score]:[User Score]],"&lt;&gt;#N/A")</f>
        <v>9</v>
      </c>
    </row>
    <row r="668" spans="1:16" hidden="1" x14ac:dyDescent="0.2">
      <c r="A668">
        <f t="shared" si="13"/>
        <v>667</v>
      </c>
      <c r="B668">
        <v>67</v>
      </c>
      <c r="C668" t="s">
        <v>138</v>
      </c>
      <c r="D668" t="s">
        <v>452</v>
      </c>
      <c r="E668" t="s">
        <v>290</v>
      </c>
      <c r="F668" t="s">
        <v>321</v>
      </c>
      <c r="G668" t="e">
        <v>#N/A</v>
      </c>
      <c r="H668" t="e">
        <v>#N/A</v>
      </c>
      <c r="I668" t="e">
        <v>#N/A</v>
      </c>
      <c r="J668" s="1" t="e">
        <v>#N/A</v>
      </c>
      <c r="K668" s="1">
        <v>3.49</v>
      </c>
      <c r="L668" t="s">
        <v>453</v>
      </c>
      <c r="M668" t="s">
        <v>353</v>
      </c>
      <c r="N668">
        <f>2000+RIGHT(Table1[[#This Row],[Release Date]],2)</f>
        <v>2015</v>
      </c>
      <c r="O668">
        <f>_xlfn.MAXIFS(Table1[[#This Row],[Total Shipped]]:Table1[[#This Row],[Total Sales]],Table1[[#This Row],[Total Shipped]]:Table1[[#This Row],[Total Sales]],"&lt;&gt;#N/A")</f>
        <v>3.49</v>
      </c>
      <c r="P668">
        <f>_xlfn.MAXIFS(Table1[[#This Row],[VGChartz Score]:[User Score]],Table1[[#This Row],[VGChartz Score]:[User Score]],"&lt;&gt;#N/A")</f>
        <v>0</v>
      </c>
    </row>
    <row r="669" spans="1:16" hidden="1" x14ac:dyDescent="0.2">
      <c r="A669">
        <f t="shared" si="13"/>
        <v>668</v>
      </c>
      <c r="B669">
        <v>68</v>
      </c>
      <c r="C669" t="s">
        <v>138</v>
      </c>
      <c r="D669" t="s">
        <v>454</v>
      </c>
      <c r="E669" t="s">
        <v>290</v>
      </c>
      <c r="F669" t="s">
        <v>244</v>
      </c>
      <c r="G669" t="e">
        <v>#N/A</v>
      </c>
      <c r="H669" t="e">
        <v>#N/A</v>
      </c>
      <c r="I669" t="e">
        <v>#N/A</v>
      </c>
      <c r="J669" s="2" t="e">
        <v>#N/A</v>
      </c>
      <c r="K669" s="2">
        <v>3.43</v>
      </c>
      <c r="L669" t="s">
        <v>413</v>
      </c>
      <c r="M669" t="s">
        <v>455</v>
      </c>
      <c r="N669">
        <f>2000+RIGHT(Table1[[#This Row],[Release Date]],2)</f>
        <v>2013</v>
      </c>
      <c r="O669">
        <f>_xlfn.MAXIFS(Table1[[#This Row],[Total Shipped]]:Table1[[#This Row],[Total Sales]],Table1[[#This Row],[Total Shipped]]:Table1[[#This Row],[Total Sales]],"&lt;&gt;#N/A")</f>
        <v>3.43</v>
      </c>
      <c r="P669">
        <f>_xlfn.MAXIFS(Table1[[#This Row],[VGChartz Score]:[User Score]],Table1[[#This Row],[VGChartz Score]:[User Score]],"&lt;&gt;#N/A")</f>
        <v>0</v>
      </c>
    </row>
    <row r="670" spans="1:16" hidden="1" x14ac:dyDescent="0.2">
      <c r="A670">
        <f t="shared" si="13"/>
        <v>669</v>
      </c>
      <c r="B670">
        <v>69</v>
      </c>
      <c r="C670" t="s">
        <v>138</v>
      </c>
      <c r="D670" t="s">
        <v>456</v>
      </c>
      <c r="E670" t="s">
        <v>290</v>
      </c>
      <c r="F670" t="s">
        <v>222</v>
      </c>
      <c r="G670" t="e">
        <v>#N/A</v>
      </c>
      <c r="H670">
        <v>8.3000000000000007</v>
      </c>
      <c r="I670" t="e">
        <v>#N/A</v>
      </c>
      <c r="J670" s="1" t="e">
        <v>#N/A</v>
      </c>
      <c r="K670" s="1">
        <v>3.36</v>
      </c>
      <c r="L670" t="s">
        <v>457</v>
      </c>
      <c r="M670" t="s">
        <v>343</v>
      </c>
      <c r="N670">
        <f>2000+RIGHT(Table1[[#This Row],[Release Date]],2)</f>
        <v>2016</v>
      </c>
      <c r="O670">
        <f>_xlfn.MAXIFS(Table1[[#This Row],[Total Shipped]]:Table1[[#This Row],[Total Sales]],Table1[[#This Row],[Total Shipped]]:Table1[[#This Row],[Total Sales]],"&lt;&gt;#N/A")</f>
        <v>3.36</v>
      </c>
      <c r="P670">
        <f>_xlfn.MAXIFS(Table1[[#This Row],[VGChartz Score]:[User Score]],Table1[[#This Row],[VGChartz Score]:[User Score]],"&lt;&gt;#N/A")</f>
        <v>8.3000000000000007</v>
      </c>
    </row>
    <row r="671" spans="1:16" hidden="1" x14ac:dyDescent="0.2">
      <c r="A671">
        <f t="shared" si="13"/>
        <v>670</v>
      </c>
      <c r="B671">
        <v>70</v>
      </c>
      <c r="C671" t="s">
        <v>138</v>
      </c>
      <c r="D671" t="s">
        <v>458</v>
      </c>
      <c r="E671" t="s">
        <v>290</v>
      </c>
      <c r="F671" t="s">
        <v>151</v>
      </c>
      <c r="G671" t="e">
        <v>#N/A</v>
      </c>
      <c r="H671" t="e">
        <v>#N/A</v>
      </c>
      <c r="I671" t="e">
        <v>#N/A</v>
      </c>
      <c r="J671" s="2" t="e">
        <v>#N/A</v>
      </c>
      <c r="K671" s="2">
        <v>3.36</v>
      </c>
      <c r="L671" t="s">
        <v>459</v>
      </c>
      <c r="M671" t="e">
        <v>#N/A</v>
      </c>
      <c r="N671">
        <f>2000+RIGHT(Table1[[#This Row],[Release Date]],2)</f>
        <v>2016</v>
      </c>
      <c r="O671">
        <f>_xlfn.MAXIFS(Table1[[#This Row],[Total Shipped]]:Table1[[#This Row],[Total Sales]],Table1[[#This Row],[Total Shipped]]:Table1[[#This Row],[Total Sales]],"&lt;&gt;#N/A")</f>
        <v>3.36</v>
      </c>
      <c r="P671">
        <f>_xlfn.MAXIFS(Table1[[#This Row],[VGChartz Score]:[User Score]],Table1[[#This Row],[VGChartz Score]:[User Score]],"&lt;&gt;#N/A")</f>
        <v>0</v>
      </c>
    </row>
    <row r="672" spans="1:16" hidden="1" x14ac:dyDescent="0.2">
      <c r="A672">
        <f t="shared" si="13"/>
        <v>671</v>
      </c>
      <c r="B672">
        <v>71</v>
      </c>
      <c r="C672" t="s">
        <v>138</v>
      </c>
      <c r="D672" t="s">
        <v>460</v>
      </c>
      <c r="E672" t="s">
        <v>290</v>
      </c>
      <c r="F672" t="s">
        <v>431</v>
      </c>
      <c r="G672" t="e">
        <v>#N/A</v>
      </c>
      <c r="H672">
        <v>8.1</v>
      </c>
      <c r="I672" t="e">
        <v>#N/A</v>
      </c>
      <c r="J672" s="1" t="e">
        <v>#N/A</v>
      </c>
      <c r="K672" s="1">
        <v>3.34</v>
      </c>
      <c r="L672" t="s">
        <v>461</v>
      </c>
      <c r="M672" t="s">
        <v>246</v>
      </c>
      <c r="N672">
        <f>2000+RIGHT(Table1[[#This Row],[Release Date]],2)</f>
        <v>2017</v>
      </c>
      <c r="O672">
        <f>_xlfn.MAXIFS(Table1[[#This Row],[Total Shipped]]:Table1[[#This Row],[Total Sales]],Table1[[#This Row],[Total Shipped]]:Table1[[#This Row],[Total Sales]],"&lt;&gt;#N/A")</f>
        <v>3.34</v>
      </c>
      <c r="P672">
        <f>_xlfn.MAXIFS(Table1[[#This Row],[VGChartz Score]:[User Score]],Table1[[#This Row],[VGChartz Score]:[User Score]],"&lt;&gt;#N/A")</f>
        <v>8.1</v>
      </c>
    </row>
    <row r="673" spans="1:16" hidden="1" x14ac:dyDescent="0.2">
      <c r="A673">
        <f t="shared" si="13"/>
        <v>672</v>
      </c>
      <c r="B673">
        <v>72</v>
      </c>
      <c r="C673" t="s">
        <v>138</v>
      </c>
      <c r="D673" t="s">
        <v>462</v>
      </c>
      <c r="E673" t="s">
        <v>290</v>
      </c>
      <c r="F673" t="s">
        <v>244</v>
      </c>
      <c r="G673" t="e">
        <v>#N/A</v>
      </c>
      <c r="H673">
        <v>8.1999999999999993</v>
      </c>
      <c r="I673" t="e">
        <v>#N/A</v>
      </c>
      <c r="J673" s="2" t="e">
        <v>#N/A</v>
      </c>
      <c r="K673" s="2">
        <v>3.3</v>
      </c>
      <c r="L673" t="s">
        <v>427</v>
      </c>
      <c r="M673" t="s">
        <v>463</v>
      </c>
      <c r="N673">
        <f>2000+RIGHT(Table1[[#This Row],[Release Date]],2)</f>
        <v>2015</v>
      </c>
      <c r="O673">
        <f>_xlfn.MAXIFS(Table1[[#This Row],[Total Shipped]]:Table1[[#This Row],[Total Sales]],Table1[[#This Row],[Total Shipped]]:Table1[[#This Row],[Total Sales]],"&lt;&gt;#N/A")</f>
        <v>3.3</v>
      </c>
      <c r="P673">
        <f>_xlfn.MAXIFS(Table1[[#This Row],[VGChartz Score]:[User Score]],Table1[[#This Row],[VGChartz Score]:[User Score]],"&lt;&gt;#N/A")</f>
        <v>8.1999999999999993</v>
      </c>
    </row>
    <row r="674" spans="1:16" hidden="1" x14ac:dyDescent="0.2">
      <c r="A674">
        <f t="shared" si="13"/>
        <v>673</v>
      </c>
      <c r="B674">
        <v>73</v>
      </c>
      <c r="C674" t="s">
        <v>138</v>
      </c>
      <c r="D674" t="s">
        <v>464</v>
      </c>
      <c r="E674" t="s">
        <v>290</v>
      </c>
      <c r="F674" t="s">
        <v>244</v>
      </c>
      <c r="G674" t="e">
        <v>#N/A</v>
      </c>
      <c r="H674">
        <v>8.5</v>
      </c>
      <c r="I674" t="e">
        <v>#N/A</v>
      </c>
      <c r="J674" s="1" t="e">
        <v>#N/A</v>
      </c>
      <c r="K674" s="1">
        <v>3.28</v>
      </c>
      <c r="L674" t="s">
        <v>465</v>
      </c>
      <c r="M674" t="s">
        <v>343</v>
      </c>
      <c r="N674">
        <f>2000+RIGHT(Table1[[#This Row],[Release Date]],2)</f>
        <v>2016</v>
      </c>
      <c r="O674">
        <f>_xlfn.MAXIFS(Table1[[#This Row],[Total Shipped]]:Table1[[#This Row],[Total Sales]],Table1[[#This Row],[Total Shipped]]:Table1[[#This Row],[Total Sales]],"&lt;&gt;#N/A")</f>
        <v>3.28</v>
      </c>
      <c r="P674">
        <f>_xlfn.MAXIFS(Table1[[#This Row],[VGChartz Score]:[User Score]],Table1[[#This Row],[VGChartz Score]:[User Score]],"&lt;&gt;#N/A")</f>
        <v>8.5</v>
      </c>
    </row>
    <row r="675" spans="1:16" hidden="1" x14ac:dyDescent="0.2">
      <c r="A675">
        <f t="shared" si="13"/>
        <v>674</v>
      </c>
      <c r="B675">
        <v>74</v>
      </c>
      <c r="C675" t="s">
        <v>138</v>
      </c>
      <c r="D675" t="s">
        <v>466</v>
      </c>
      <c r="E675" t="s">
        <v>290</v>
      </c>
      <c r="F675" t="s">
        <v>144</v>
      </c>
      <c r="G675">
        <v>7</v>
      </c>
      <c r="H675" t="e">
        <v>#N/A</v>
      </c>
      <c r="I675" t="e">
        <v>#N/A</v>
      </c>
      <c r="J675" s="2">
        <v>3.22</v>
      </c>
      <c r="K675" s="2" t="e">
        <v>#N/A</v>
      </c>
      <c r="L675" t="s">
        <v>467</v>
      </c>
      <c r="M675" t="s">
        <v>468</v>
      </c>
      <c r="N675">
        <f>2000+RIGHT(Table1[[#This Row],[Release Date]],2)</f>
        <v>2020</v>
      </c>
      <c r="O675">
        <f>_xlfn.MAXIFS(Table1[[#This Row],[Total Shipped]]:Table1[[#This Row],[Total Sales]],Table1[[#This Row],[Total Shipped]]:Table1[[#This Row],[Total Sales]],"&lt;&gt;#N/A")</f>
        <v>3.22</v>
      </c>
      <c r="P675">
        <f>_xlfn.MAXIFS(Table1[[#This Row],[VGChartz Score]:[User Score]],Table1[[#This Row],[VGChartz Score]:[User Score]],"&lt;&gt;#N/A")</f>
        <v>7</v>
      </c>
    </row>
    <row r="676" spans="1:16" hidden="1" x14ac:dyDescent="0.2">
      <c r="A676">
        <f t="shared" si="13"/>
        <v>675</v>
      </c>
      <c r="B676">
        <v>75</v>
      </c>
      <c r="C676" t="s">
        <v>138</v>
      </c>
      <c r="D676" t="s">
        <v>469</v>
      </c>
      <c r="E676" t="s">
        <v>290</v>
      </c>
      <c r="F676" t="s">
        <v>151</v>
      </c>
      <c r="G676" t="e">
        <v>#N/A</v>
      </c>
      <c r="H676">
        <v>8.3000000000000007</v>
      </c>
      <c r="I676" t="e">
        <v>#N/A</v>
      </c>
      <c r="J676" s="1" t="e">
        <v>#N/A</v>
      </c>
      <c r="K676" s="1">
        <v>3.19</v>
      </c>
      <c r="L676" t="s">
        <v>413</v>
      </c>
      <c r="M676" t="s">
        <v>91</v>
      </c>
      <c r="N676">
        <f>2000+RIGHT(Table1[[#This Row],[Release Date]],2)</f>
        <v>2013</v>
      </c>
      <c r="O676">
        <f>_xlfn.MAXIFS(Table1[[#This Row],[Total Shipped]]:Table1[[#This Row],[Total Sales]],Table1[[#This Row],[Total Shipped]]:Table1[[#This Row],[Total Sales]],"&lt;&gt;#N/A")</f>
        <v>3.19</v>
      </c>
      <c r="P676">
        <f>_xlfn.MAXIFS(Table1[[#This Row],[VGChartz Score]:[User Score]],Table1[[#This Row],[VGChartz Score]:[User Score]],"&lt;&gt;#N/A")</f>
        <v>8.3000000000000007</v>
      </c>
    </row>
    <row r="677" spans="1:16" hidden="1" x14ac:dyDescent="0.2">
      <c r="A677">
        <f t="shared" si="13"/>
        <v>676</v>
      </c>
      <c r="B677">
        <v>76</v>
      </c>
      <c r="C677" t="s">
        <v>138</v>
      </c>
      <c r="D677" t="s">
        <v>470</v>
      </c>
      <c r="E677" t="s">
        <v>290</v>
      </c>
      <c r="F677" t="s">
        <v>151</v>
      </c>
      <c r="G677" t="e">
        <v>#N/A</v>
      </c>
      <c r="H677">
        <v>9.5</v>
      </c>
      <c r="I677" t="e">
        <v>#N/A</v>
      </c>
      <c r="J677" s="2" t="e">
        <v>#N/A</v>
      </c>
      <c r="K677" s="2">
        <v>3.18</v>
      </c>
      <c r="L677" t="s">
        <v>24</v>
      </c>
      <c r="M677" t="s">
        <v>471</v>
      </c>
      <c r="N677">
        <f>2000+RIGHT(Table1[[#This Row],[Release Date]],2)</f>
        <v>2018</v>
      </c>
      <c r="O677">
        <f>_xlfn.MAXIFS(Table1[[#This Row],[Total Shipped]]:Table1[[#This Row],[Total Sales]],Table1[[#This Row],[Total Shipped]]:Table1[[#This Row],[Total Sales]],"&lt;&gt;#N/A")</f>
        <v>3.18</v>
      </c>
      <c r="P677">
        <f>_xlfn.MAXIFS(Table1[[#This Row],[VGChartz Score]:[User Score]],Table1[[#This Row],[VGChartz Score]:[User Score]],"&lt;&gt;#N/A")</f>
        <v>9.5</v>
      </c>
    </row>
    <row r="678" spans="1:16" hidden="1" x14ac:dyDescent="0.2">
      <c r="A678">
        <f t="shared" si="13"/>
        <v>677</v>
      </c>
      <c r="B678">
        <v>77</v>
      </c>
      <c r="C678" t="s">
        <v>138</v>
      </c>
      <c r="D678" t="s">
        <v>472</v>
      </c>
      <c r="E678" t="s">
        <v>290</v>
      </c>
      <c r="F678" t="s">
        <v>151</v>
      </c>
      <c r="G678" t="e">
        <v>#N/A</v>
      </c>
      <c r="H678">
        <v>7</v>
      </c>
      <c r="I678" t="e">
        <v>#N/A</v>
      </c>
      <c r="J678" s="1" t="e">
        <v>#N/A</v>
      </c>
      <c r="K678" s="1">
        <v>3.12</v>
      </c>
      <c r="L678" t="s">
        <v>473</v>
      </c>
      <c r="M678" t="s">
        <v>343</v>
      </c>
      <c r="N678">
        <f>2000+RIGHT(Table1[[#This Row],[Release Date]],2)</f>
        <v>2017</v>
      </c>
      <c r="O678">
        <f>_xlfn.MAXIFS(Table1[[#This Row],[Total Shipped]]:Table1[[#This Row],[Total Sales]],Table1[[#This Row],[Total Shipped]]:Table1[[#This Row],[Total Sales]],"&lt;&gt;#N/A")</f>
        <v>3.12</v>
      </c>
      <c r="P678">
        <f>_xlfn.MAXIFS(Table1[[#This Row],[VGChartz Score]:[User Score]],Table1[[#This Row],[VGChartz Score]:[User Score]],"&lt;&gt;#N/A")</f>
        <v>7</v>
      </c>
    </row>
    <row r="679" spans="1:16" hidden="1" x14ac:dyDescent="0.2">
      <c r="A679">
        <f t="shared" si="13"/>
        <v>678</v>
      </c>
      <c r="B679">
        <v>78</v>
      </c>
      <c r="C679" t="s">
        <v>138</v>
      </c>
      <c r="D679" t="s">
        <v>474</v>
      </c>
      <c r="E679" t="s">
        <v>290</v>
      </c>
      <c r="F679" t="s">
        <v>475</v>
      </c>
      <c r="G679" t="e">
        <v>#N/A</v>
      </c>
      <c r="H679" t="e">
        <v>#N/A</v>
      </c>
      <c r="I679" t="e">
        <v>#N/A</v>
      </c>
      <c r="J679" s="2" t="e">
        <v>#N/A</v>
      </c>
      <c r="K679" s="2">
        <v>3.04</v>
      </c>
      <c r="L679" t="s">
        <v>476</v>
      </c>
      <c r="M679" t="s">
        <v>85</v>
      </c>
      <c r="N679">
        <f>2000+RIGHT(Table1[[#This Row],[Release Date]],2)</f>
        <v>2015</v>
      </c>
      <c r="O679">
        <f>_xlfn.MAXIFS(Table1[[#This Row],[Total Shipped]]:Table1[[#This Row],[Total Sales]],Table1[[#This Row],[Total Shipped]]:Table1[[#This Row],[Total Sales]],"&lt;&gt;#N/A")</f>
        <v>3.04</v>
      </c>
      <c r="P679">
        <f>_xlfn.MAXIFS(Table1[[#This Row],[VGChartz Score]:[User Score]],Table1[[#This Row],[VGChartz Score]:[User Score]],"&lt;&gt;#N/A")</f>
        <v>0</v>
      </c>
    </row>
    <row r="680" spans="1:16" hidden="1" x14ac:dyDescent="0.2">
      <c r="A680">
        <f t="shared" si="13"/>
        <v>679</v>
      </c>
      <c r="B680">
        <v>79</v>
      </c>
      <c r="C680" t="s">
        <v>138</v>
      </c>
      <c r="D680" t="s">
        <v>477</v>
      </c>
      <c r="E680" t="s">
        <v>290</v>
      </c>
      <c r="F680" t="s">
        <v>222</v>
      </c>
      <c r="G680" t="e">
        <v>#N/A</v>
      </c>
      <c r="H680" t="e">
        <v>#N/A</v>
      </c>
      <c r="I680" t="e">
        <v>#N/A</v>
      </c>
      <c r="J680" s="1" t="e">
        <v>#N/A</v>
      </c>
      <c r="K680" s="1">
        <v>2.92</v>
      </c>
      <c r="L680" t="s">
        <v>478</v>
      </c>
      <c r="M680" t="e">
        <v>#N/A</v>
      </c>
      <c r="N680">
        <f>2000+RIGHT(Table1[[#This Row],[Release Date]],2)</f>
        <v>2016</v>
      </c>
      <c r="O680">
        <f>_xlfn.MAXIFS(Table1[[#This Row],[Total Shipped]]:Table1[[#This Row],[Total Sales]],Table1[[#This Row],[Total Shipped]]:Table1[[#This Row],[Total Sales]],"&lt;&gt;#N/A")</f>
        <v>2.92</v>
      </c>
      <c r="P680">
        <f>_xlfn.MAXIFS(Table1[[#This Row],[VGChartz Score]:[User Score]],Table1[[#This Row],[VGChartz Score]:[User Score]],"&lt;&gt;#N/A")</f>
        <v>0</v>
      </c>
    </row>
    <row r="681" spans="1:16" hidden="1" x14ac:dyDescent="0.2">
      <c r="A681">
        <f t="shared" si="13"/>
        <v>680</v>
      </c>
      <c r="B681">
        <v>80</v>
      </c>
      <c r="C681" t="s">
        <v>138</v>
      </c>
      <c r="D681" t="s">
        <v>479</v>
      </c>
      <c r="E681" t="s">
        <v>290</v>
      </c>
      <c r="F681" t="s">
        <v>291</v>
      </c>
      <c r="G681" t="e">
        <v>#N/A</v>
      </c>
      <c r="H681" t="e">
        <v>#N/A</v>
      </c>
      <c r="I681" t="e">
        <v>#N/A</v>
      </c>
      <c r="J681" s="2">
        <v>2.9</v>
      </c>
      <c r="K681" s="2" t="e">
        <v>#N/A</v>
      </c>
      <c r="L681" t="s">
        <v>480</v>
      </c>
      <c r="M681" t="s">
        <v>137</v>
      </c>
      <c r="N681">
        <f>2000+RIGHT(Table1[[#This Row],[Release Date]],2)</f>
        <v>2017</v>
      </c>
      <c r="O681">
        <f>_xlfn.MAXIFS(Table1[[#This Row],[Total Shipped]]:Table1[[#This Row],[Total Sales]],Table1[[#This Row],[Total Shipped]]:Table1[[#This Row],[Total Sales]],"&lt;&gt;#N/A")</f>
        <v>2.9</v>
      </c>
      <c r="P681">
        <f>_xlfn.MAXIFS(Table1[[#This Row],[VGChartz Score]:[User Score]],Table1[[#This Row],[VGChartz Score]:[User Score]],"&lt;&gt;#N/A")</f>
        <v>0</v>
      </c>
    </row>
    <row r="682" spans="1:16" hidden="1" x14ac:dyDescent="0.2">
      <c r="A682">
        <f t="shared" si="13"/>
        <v>681</v>
      </c>
      <c r="B682">
        <v>81</v>
      </c>
      <c r="C682" t="s">
        <v>138</v>
      </c>
      <c r="D682" t="s">
        <v>481</v>
      </c>
      <c r="E682" t="s">
        <v>290</v>
      </c>
      <c r="F682" t="s">
        <v>321</v>
      </c>
      <c r="G682">
        <v>9</v>
      </c>
      <c r="H682" t="e">
        <v>#N/A</v>
      </c>
      <c r="I682" t="e">
        <v>#N/A</v>
      </c>
      <c r="J682" s="1">
        <v>2.88</v>
      </c>
      <c r="K682" s="1" t="e">
        <v>#N/A</v>
      </c>
      <c r="L682" t="s">
        <v>482</v>
      </c>
      <c r="M682" t="s">
        <v>85</v>
      </c>
      <c r="N682">
        <f>2000+RIGHT(Table1[[#This Row],[Release Date]],2)</f>
        <v>2014</v>
      </c>
      <c r="O682">
        <f>_xlfn.MAXIFS(Table1[[#This Row],[Total Shipped]]:Table1[[#This Row],[Total Sales]],Table1[[#This Row],[Total Shipped]]:Table1[[#This Row],[Total Sales]],"&lt;&gt;#N/A")</f>
        <v>2.88</v>
      </c>
      <c r="P682">
        <f>_xlfn.MAXIFS(Table1[[#This Row],[VGChartz Score]:[User Score]],Table1[[#This Row],[VGChartz Score]:[User Score]],"&lt;&gt;#N/A")</f>
        <v>9</v>
      </c>
    </row>
    <row r="683" spans="1:16" hidden="1" x14ac:dyDescent="0.2">
      <c r="A683">
        <f t="shared" si="13"/>
        <v>682</v>
      </c>
      <c r="B683">
        <v>82</v>
      </c>
      <c r="C683" t="s">
        <v>138</v>
      </c>
      <c r="D683" t="s">
        <v>483</v>
      </c>
      <c r="E683" t="s">
        <v>290</v>
      </c>
      <c r="F683" t="s">
        <v>484</v>
      </c>
      <c r="G683" t="e">
        <v>#N/A</v>
      </c>
      <c r="H683">
        <v>6.9</v>
      </c>
      <c r="I683" t="e">
        <v>#N/A</v>
      </c>
      <c r="J683" s="2" t="e">
        <v>#N/A</v>
      </c>
      <c r="K683" s="2">
        <v>2.87</v>
      </c>
      <c r="L683" t="s">
        <v>485</v>
      </c>
      <c r="M683" t="s">
        <v>246</v>
      </c>
      <c r="N683">
        <f>2000+RIGHT(Table1[[#This Row],[Release Date]],2)</f>
        <v>2016</v>
      </c>
      <c r="O683">
        <f>_xlfn.MAXIFS(Table1[[#This Row],[Total Shipped]]:Table1[[#This Row],[Total Sales]],Table1[[#This Row],[Total Shipped]]:Table1[[#This Row],[Total Sales]],"&lt;&gt;#N/A")</f>
        <v>2.87</v>
      </c>
      <c r="P683">
        <f>_xlfn.MAXIFS(Table1[[#This Row],[VGChartz Score]:[User Score]],Table1[[#This Row],[VGChartz Score]:[User Score]],"&lt;&gt;#N/A")</f>
        <v>6.9</v>
      </c>
    </row>
    <row r="684" spans="1:16" hidden="1" x14ac:dyDescent="0.2">
      <c r="A684">
        <f t="shared" si="13"/>
        <v>683</v>
      </c>
      <c r="B684">
        <v>83</v>
      </c>
      <c r="C684" t="s">
        <v>138</v>
      </c>
      <c r="D684" t="s">
        <v>486</v>
      </c>
      <c r="E684" t="s">
        <v>290</v>
      </c>
      <c r="F684" t="s">
        <v>392</v>
      </c>
      <c r="G684" t="e">
        <v>#N/A</v>
      </c>
      <c r="H684" t="e">
        <v>#N/A</v>
      </c>
      <c r="I684" t="e">
        <v>#N/A</v>
      </c>
      <c r="J684" s="1" t="e">
        <v>#N/A</v>
      </c>
      <c r="K684" s="1">
        <v>2.82</v>
      </c>
      <c r="L684" t="s">
        <v>487</v>
      </c>
      <c r="M684" t="s">
        <v>488</v>
      </c>
      <c r="N684">
        <f>2000+RIGHT(Table1[[#This Row],[Release Date]],2)</f>
        <v>2014</v>
      </c>
      <c r="O684">
        <f>_xlfn.MAXIFS(Table1[[#This Row],[Total Shipped]]:Table1[[#This Row],[Total Sales]],Table1[[#This Row],[Total Shipped]]:Table1[[#This Row],[Total Sales]],"&lt;&gt;#N/A")</f>
        <v>2.82</v>
      </c>
      <c r="P684">
        <f>_xlfn.MAXIFS(Table1[[#This Row],[VGChartz Score]:[User Score]],Table1[[#This Row],[VGChartz Score]:[User Score]],"&lt;&gt;#N/A")</f>
        <v>0</v>
      </c>
    </row>
    <row r="685" spans="1:16" hidden="1" x14ac:dyDescent="0.2">
      <c r="A685">
        <f t="shared" si="13"/>
        <v>684</v>
      </c>
      <c r="B685">
        <v>84</v>
      </c>
      <c r="C685" t="s">
        <v>138</v>
      </c>
      <c r="D685" t="s">
        <v>489</v>
      </c>
      <c r="E685" t="s">
        <v>290</v>
      </c>
      <c r="F685" t="s">
        <v>151</v>
      </c>
      <c r="G685" t="e">
        <v>#N/A</v>
      </c>
      <c r="H685">
        <v>7.2</v>
      </c>
      <c r="I685" t="e">
        <v>#N/A</v>
      </c>
      <c r="J685" s="2" t="e">
        <v>#N/A</v>
      </c>
      <c r="K685" s="2">
        <v>2.73</v>
      </c>
      <c r="L685" t="s">
        <v>490</v>
      </c>
      <c r="M685" t="s">
        <v>377</v>
      </c>
      <c r="N685">
        <f>2000+RIGHT(Table1[[#This Row],[Release Date]],2)</f>
        <v>2016</v>
      </c>
      <c r="O685">
        <f>_xlfn.MAXIFS(Table1[[#This Row],[Total Shipped]]:Table1[[#This Row],[Total Sales]],Table1[[#This Row],[Total Shipped]]:Table1[[#This Row],[Total Sales]],"&lt;&gt;#N/A")</f>
        <v>2.73</v>
      </c>
      <c r="P685">
        <f>_xlfn.MAXIFS(Table1[[#This Row],[VGChartz Score]:[User Score]],Table1[[#This Row],[VGChartz Score]:[User Score]],"&lt;&gt;#N/A")</f>
        <v>7.2</v>
      </c>
    </row>
    <row r="686" spans="1:16" hidden="1" x14ac:dyDescent="0.2">
      <c r="A686">
        <f t="shared" si="13"/>
        <v>685</v>
      </c>
      <c r="B686">
        <v>85</v>
      </c>
      <c r="C686" t="s">
        <v>138</v>
      </c>
      <c r="D686" t="s">
        <v>491</v>
      </c>
      <c r="E686" t="s">
        <v>290</v>
      </c>
      <c r="F686" t="s">
        <v>324</v>
      </c>
      <c r="G686" t="e">
        <v>#N/A</v>
      </c>
      <c r="H686">
        <v>7</v>
      </c>
      <c r="I686" t="e">
        <v>#N/A</v>
      </c>
      <c r="J686" s="1" t="e">
        <v>#N/A</v>
      </c>
      <c r="K686" s="1">
        <v>2.72</v>
      </c>
      <c r="L686" t="s">
        <v>492</v>
      </c>
      <c r="M686" t="s">
        <v>377</v>
      </c>
      <c r="N686">
        <f>2000+RIGHT(Table1[[#This Row],[Release Date]],2)</f>
        <v>2015</v>
      </c>
      <c r="O686">
        <f>_xlfn.MAXIFS(Table1[[#This Row],[Total Shipped]]:Table1[[#This Row],[Total Sales]],Table1[[#This Row],[Total Shipped]]:Table1[[#This Row],[Total Sales]],"&lt;&gt;#N/A")</f>
        <v>2.72</v>
      </c>
      <c r="P686">
        <f>_xlfn.MAXIFS(Table1[[#This Row],[VGChartz Score]:[User Score]],Table1[[#This Row],[VGChartz Score]:[User Score]],"&lt;&gt;#N/A")</f>
        <v>7</v>
      </c>
    </row>
    <row r="687" spans="1:16" x14ac:dyDescent="0.2">
      <c r="A687">
        <f t="shared" si="13"/>
        <v>686</v>
      </c>
      <c r="B687">
        <v>86</v>
      </c>
      <c r="C687" t="s">
        <v>138</v>
      </c>
      <c r="D687" t="s">
        <v>493</v>
      </c>
      <c r="E687" t="s">
        <v>290</v>
      </c>
      <c r="F687" t="s">
        <v>129</v>
      </c>
      <c r="G687" t="e">
        <v>#N/A</v>
      </c>
      <c r="H687" t="e">
        <v>#N/A</v>
      </c>
      <c r="I687" t="e">
        <v>#N/A</v>
      </c>
      <c r="J687" s="2">
        <v>2.67</v>
      </c>
      <c r="K687" s="2" t="e">
        <v>#N/A</v>
      </c>
      <c r="L687" t="s">
        <v>494</v>
      </c>
      <c r="M687" t="s">
        <v>495</v>
      </c>
      <c r="N687">
        <f>2000+RIGHT(Table1[[#This Row],[Release Date]],2)</f>
        <v>2022</v>
      </c>
      <c r="O687">
        <f>_xlfn.MAXIFS(Table1[[#This Row],[Total Shipped]]:Table1[[#This Row],[Total Sales]],Table1[[#This Row],[Total Shipped]]:Table1[[#This Row],[Total Sales]],"&lt;&gt;#N/A")</f>
        <v>2.67</v>
      </c>
      <c r="P687">
        <f>_xlfn.MAXIFS(Table1[[#This Row],[VGChartz Score]:[User Score]],Table1[[#This Row],[VGChartz Score]:[User Score]],"&lt;&gt;#N/A")</f>
        <v>0</v>
      </c>
    </row>
    <row r="688" spans="1:16" hidden="1" x14ac:dyDescent="0.2">
      <c r="A688">
        <f t="shared" si="13"/>
        <v>687</v>
      </c>
      <c r="B688">
        <v>87</v>
      </c>
      <c r="C688" t="s">
        <v>138</v>
      </c>
      <c r="D688" t="s">
        <v>496</v>
      </c>
      <c r="E688" t="s">
        <v>290</v>
      </c>
      <c r="F688" t="s">
        <v>431</v>
      </c>
      <c r="G688" t="e">
        <v>#N/A</v>
      </c>
      <c r="H688" t="e">
        <v>#N/A</v>
      </c>
      <c r="I688" t="e">
        <v>#N/A</v>
      </c>
      <c r="J688" s="1" t="e">
        <v>#N/A</v>
      </c>
      <c r="K688" s="1">
        <v>2.63</v>
      </c>
      <c r="L688" t="s">
        <v>497</v>
      </c>
      <c r="M688" t="s">
        <v>293</v>
      </c>
      <c r="N688">
        <f>2000+RIGHT(Table1[[#This Row],[Release Date]],2)</f>
        <v>2018</v>
      </c>
      <c r="O688">
        <f>_xlfn.MAXIFS(Table1[[#This Row],[Total Shipped]]:Table1[[#This Row],[Total Sales]],Table1[[#This Row],[Total Shipped]]:Table1[[#This Row],[Total Sales]],"&lt;&gt;#N/A")</f>
        <v>2.63</v>
      </c>
      <c r="P688">
        <f>_xlfn.MAXIFS(Table1[[#This Row],[VGChartz Score]:[User Score]],Table1[[#This Row],[VGChartz Score]:[User Score]],"&lt;&gt;#N/A")</f>
        <v>0</v>
      </c>
    </row>
    <row r="689" spans="1:16" hidden="1" x14ac:dyDescent="0.2">
      <c r="A689">
        <f t="shared" si="13"/>
        <v>688</v>
      </c>
      <c r="B689">
        <v>88</v>
      </c>
      <c r="C689" t="s">
        <v>138</v>
      </c>
      <c r="D689" t="s">
        <v>498</v>
      </c>
      <c r="E689" t="s">
        <v>290</v>
      </c>
      <c r="F689" t="s">
        <v>244</v>
      </c>
      <c r="G689" t="e">
        <v>#N/A</v>
      </c>
      <c r="H689">
        <v>8.1999999999999993</v>
      </c>
      <c r="I689" t="e">
        <v>#N/A</v>
      </c>
      <c r="J689" s="2" t="e">
        <v>#N/A</v>
      </c>
      <c r="K689" s="2">
        <v>2.62</v>
      </c>
      <c r="L689" t="s">
        <v>499</v>
      </c>
      <c r="M689" t="s">
        <v>377</v>
      </c>
      <c r="N689">
        <f>2000+RIGHT(Table1[[#This Row],[Release Date]],2)</f>
        <v>2017</v>
      </c>
      <c r="O689">
        <f>_xlfn.MAXIFS(Table1[[#This Row],[Total Shipped]]:Table1[[#This Row],[Total Sales]],Table1[[#This Row],[Total Shipped]]:Table1[[#This Row],[Total Sales]],"&lt;&gt;#N/A")</f>
        <v>2.62</v>
      </c>
      <c r="P689">
        <f>_xlfn.MAXIFS(Table1[[#This Row],[VGChartz Score]:[User Score]],Table1[[#This Row],[VGChartz Score]:[User Score]],"&lt;&gt;#N/A")</f>
        <v>8.1999999999999993</v>
      </c>
    </row>
    <row r="690" spans="1:16" hidden="1" x14ac:dyDescent="0.2">
      <c r="A690">
        <f t="shared" si="13"/>
        <v>689</v>
      </c>
      <c r="B690">
        <v>89</v>
      </c>
      <c r="C690" t="s">
        <v>138</v>
      </c>
      <c r="D690" t="s">
        <v>500</v>
      </c>
      <c r="E690" t="s">
        <v>290</v>
      </c>
      <c r="F690" t="s">
        <v>254</v>
      </c>
      <c r="G690" t="e">
        <v>#N/A</v>
      </c>
      <c r="H690" t="e">
        <v>#N/A</v>
      </c>
      <c r="I690" t="e">
        <v>#N/A</v>
      </c>
      <c r="J690" s="1">
        <v>2.6</v>
      </c>
      <c r="K690" s="1" t="e">
        <v>#N/A</v>
      </c>
      <c r="L690" t="s">
        <v>473</v>
      </c>
      <c r="M690" t="s">
        <v>123</v>
      </c>
      <c r="N690">
        <f>2000+RIGHT(Table1[[#This Row],[Release Date]],2)</f>
        <v>2017</v>
      </c>
      <c r="O690">
        <f>_xlfn.MAXIFS(Table1[[#This Row],[Total Shipped]]:Table1[[#This Row],[Total Sales]],Table1[[#This Row],[Total Shipped]]:Table1[[#This Row],[Total Sales]],"&lt;&gt;#N/A")</f>
        <v>2.6</v>
      </c>
      <c r="P690">
        <f>_xlfn.MAXIFS(Table1[[#This Row],[VGChartz Score]:[User Score]],Table1[[#This Row],[VGChartz Score]:[User Score]],"&lt;&gt;#N/A")</f>
        <v>0</v>
      </c>
    </row>
    <row r="691" spans="1:16" hidden="1" x14ac:dyDescent="0.2">
      <c r="A691">
        <f t="shared" si="13"/>
        <v>690</v>
      </c>
      <c r="B691">
        <v>90</v>
      </c>
      <c r="C691" t="s">
        <v>138</v>
      </c>
      <c r="D691" t="s">
        <v>501</v>
      </c>
      <c r="E691" t="s">
        <v>290</v>
      </c>
      <c r="F691" t="s">
        <v>175</v>
      </c>
      <c r="G691" t="e">
        <v>#N/A</v>
      </c>
      <c r="H691" t="e">
        <v>#N/A</v>
      </c>
      <c r="I691" t="e">
        <v>#N/A</v>
      </c>
      <c r="J691" s="2">
        <v>2.52</v>
      </c>
      <c r="K691" s="2" t="e">
        <v>#N/A</v>
      </c>
      <c r="L691" t="s">
        <v>502</v>
      </c>
      <c r="M691" t="s">
        <v>497</v>
      </c>
      <c r="N691">
        <f>2000+RIGHT(Table1[[#This Row],[Release Date]],2)</f>
        <v>2015</v>
      </c>
      <c r="O691">
        <f>_xlfn.MAXIFS(Table1[[#This Row],[Total Shipped]]:Table1[[#This Row],[Total Sales]],Table1[[#This Row],[Total Shipped]]:Table1[[#This Row],[Total Sales]],"&lt;&gt;#N/A")</f>
        <v>2.52</v>
      </c>
      <c r="P691">
        <f>_xlfn.MAXIFS(Table1[[#This Row],[VGChartz Score]:[User Score]],Table1[[#This Row],[VGChartz Score]:[User Score]],"&lt;&gt;#N/A")</f>
        <v>0</v>
      </c>
    </row>
    <row r="692" spans="1:16" hidden="1" x14ac:dyDescent="0.2">
      <c r="A692">
        <f t="shared" si="13"/>
        <v>691</v>
      </c>
      <c r="B692">
        <v>91</v>
      </c>
      <c r="C692" t="s">
        <v>138</v>
      </c>
      <c r="D692" t="s">
        <v>503</v>
      </c>
      <c r="E692" t="s">
        <v>290</v>
      </c>
      <c r="F692" t="s">
        <v>431</v>
      </c>
      <c r="G692" t="e">
        <v>#N/A</v>
      </c>
      <c r="H692" t="e">
        <v>#N/A</v>
      </c>
      <c r="I692" t="e">
        <v>#N/A</v>
      </c>
      <c r="J692" s="1" t="e">
        <v>#N/A</v>
      </c>
      <c r="K692" s="1">
        <v>2.4900000000000002</v>
      </c>
      <c r="L692" t="s">
        <v>362</v>
      </c>
      <c r="M692" t="s">
        <v>353</v>
      </c>
      <c r="N692">
        <f>2000+RIGHT(Table1[[#This Row],[Release Date]],2)</f>
        <v>2014</v>
      </c>
      <c r="O692">
        <f>_xlfn.MAXIFS(Table1[[#This Row],[Total Shipped]]:Table1[[#This Row],[Total Sales]],Table1[[#This Row],[Total Shipped]]:Table1[[#This Row],[Total Sales]],"&lt;&gt;#N/A")</f>
        <v>2.4900000000000002</v>
      </c>
      <c r="P692">
        <f>_xlfn.MAXIFS(Table1[[#This Row],[VGChartz Score]:[User Score]],Table1[[#This Row],[VGChartz Score]:[User Score]],"&lt;&gt;#N/A")</f>
        <v>0</v>
      </c>
    </row>
    <row r="693" spans="1:16" hidden="1" x14ac:dyDescent="0.2">
      <c r="A693">
        <f t="shared" si="13"/>
        <v>692</v>
      </c>
      <c r="B693">
        <v>92</v>
      </c>
      <c r="C693" t="s">
        <v>138</v>
      </c>
      <c r="D693" t="s">
        <v>504</v>
      </c>
      <c r="E693" t="s">
        <v>290</v>
      </c>
      <c r="F693" t="s">
        <v>420</v>
      </c>
      <c r="G693">
        <v>8</v>
      </c>
      <c r="H693" t="e">
        <v>#N/A</v>
      </c>
      <c r="I693" t="e">
        <v>#N/A</v>
      </c>
      <c r="J693" s="2" t="e">
        <v>#N/A</v>
      </c>
      <c r="K693" s="2">
        <v>2.4500000000000002</v>
      </c>
      <c r="L693" t="s">
        <v>505</v>
      </c>
      <c r="M693" t="s">
        <v>85</v>
      </c>
      <c r="N693">
        <f>2000+RIGHT(Table1[[#This Row],[Release Date]],2)</f>
        <v>2015</v>
      </c>
      <c r="O693">
        <f>_xlfn.MAXIFS(Table1[[#This Row],[Total Shipped]]:Table1[[#This Row],[Total Sales]],Table1[[#This Row],[Total Shipped]]:Table1[[#This Row],[Total Sales]],"&lt;&gt;#N/A")</f>
        <v>2.4500000000000002</v>
      </c>
      <c r="P693">
        <f>_xlfn.MAXIFS(Table1[[#This Row],[VGChartz Score]:[User Score]],Table1[[#This Row],[VGChartz Score]:[User Score]],"&lt;&gt;#N/A")</f>
        <v>8</v>
      </c>
    </row>
    <row r="694" spans="1:16" hidden="1" x14ac:dyDescent="0.2">
      <c r="A694">
        <f t="shared" si="13"/>
        <v>693</v>
      </c>
      <c r="B694">
        <v>93</v>
      </c>
      <c r="C694" t="s">
        <v>138</v>
      </c>
      <c r="D694" t="s">
        <v>506</v>
      </c>
      <c r="E694" t="s">
        <v>290</v>
      </c>
      <c r="F694" t="s">
        <v>324</v>
      </c>
      <c r="G694" t="e">
        <v>#N/A</v>
      </c>
      <c r="H694">
        <v>8.6</v>
      </c>
      <c r="I694" t="e">
        <v>#N/A</v>
      </c>
      <c r="J694" s="1" t="e">
        <v>#N/A</v>
      </c>
      <c r="K694" s="1">
        <v>2.34</v>
      </c>
      <c r="L694" t="s">
        <v>298</v>
      </c>
      <c r="M694" t="s">
        <v>507</v>
      </c>
      <c r="N694">
        <f>2000+RIGHT(Table1[[#This Row],[Release Date]],2)</f>
        <v>2014</v>
      </c>
      <c r="O694">
        <f>_xlfn.MAXIFS(Table1[[#This Row],[Total Shipped]]:Table1[[#This Row],[Total Sales]],Table1[[#This Row],[Total Shipped]]:Table1[[#This Row],[Total Sales]],"&lt;&gt;#N/A")</f>
        <v>2.34</v>
      </c>
      <c r="P694">
        <f>_xlfn.MAXIFS(Table1[[#This Row],[VGChartz Score]:[User Score]],Table1[[#This Row],[VGChartz Score]:[User Score]],"&lt;&gt;#N/A")</f>
        <v>8.6</v>
      </c>
    </row>
    <row r="695" spans="1:16" hidden="1" x14ac:dyDescent="0.2">
      <c r="A695">
        <f t="shared" si="13"/>
        <v>694</v>
      </c>
      <c r="B695">
        <v>94</v>
      </c>
      <c r="C695" t="s">
        <v>138</v>
      </c>
      <c r="D695" t="s">
        <v>508</v>
      </c>
      <c r="E695" t="s">
        <v>290</v>
      </c>
      <c r="F695" t="s">
        <v>509</v>
      </c>
      <c r="G695">
        <v>9</v>
      </c>
      <c r="H695" t="e">
        <v>#N/A</v>
      </c>
      <c r="I695" t="e">
        <v>#N/A</v>
      </c>
      <c r="J695" s="2">
        <v>2.2999999999999998</v>
      </c>
      <c r="K695" s="2" t="e">
        <v>#N/A</v>
      </c>
      <c r="L695" t="s">
        <v>510</v>
      </c>
      <c r="M695" t="s">
        <v>137</v>
      </c>
      <c r="N695">
        <f>2000+RIGHT(Table1[[#This Row],[Release Date]],2)</f>
        <v>2020</v>
      </c>
      <c r="O695">
        <f>_xlfn.MAXIFS(Table1[[#This Row],[Total Shipped]]:Table1[[#This Row],[Total Sales]],Table1[[#This Row],[Total Shipped]]:Table1[[#This Row],[Total Sales]],"&lt;&gt;#N/A")</f>
        <v>2.2999999999999998</v>
      </c>
      <c r="P695">
        <f>_xlfn.MAXIFS(Table1[[#This Row],[VGChartz Score]:[User Score]],Table1[[#This Row],[VGChartz Score]:[User Score]],"&lt;&gt;#N/A")</f>
        <v>9</v>
      </c>
    </row>
    <row r="696" spans="1:16" hidden="1" x14ac:dyDescent="0.2">
      <c r="A696">
        <f t="shared" si="13"/>
        <v>695</v>
      </c>
      <c r="B696">
        <v>95</v>
      </c>
      <c r="C696" t="s">
        <v>138</v>
      </c>
      <c r="D696" t="s">
        <v>511</v>
      </c>
      <c r="E696" t="s">
        <v>290</v>
      </c>
      <c r="F696" t="s">
        <v>512</v>
      </c>
      <c r="G696" t="e">
        <v>#N/A</v>
      </c>
      <c r="H696">
        <v>6.8</v>
      </c>
      <c r="I696" t="e">
        <v>#N/A</v>
      </c>
      <c r="J696" s="1" t="e">
        <v>#N/A</v>
      </c>
      <c r="K696" s="1">
        <v>2.2599999999999998</v>
      </c>
      <c r="L696" t="s">
        <v>513</v>
      </c>
      <c r="M696" t="s">
        <v>514</v>
      </c>
      <c r="N696">
        <f>2000+RIGHT(Table1[[#This Row],[Release Date]],2)</f>
        <v>2016</v>
      </c>
      <c r="O696">
        <f>_xlfn.MAXIFS(Table1[[#This Row],[Total Shipped]]:Table1[[#This Row],[Total Sales]],Table1[[#This Row],[Total Shipped]]:Table1[[#This Row],[Total Sales]],"&lt;&gt;#N/A")</f>
        <v>2.2599999999999998</v>
      </c>
      <c r="P696">
        <f>_xlfn.MAXIFS(Table1[[#This Row],[VGChartz Score]:[User Score]],Table1[[#This Row],[VGChartz Score]:[User Score]],"&lt;&gt;#N/A")</f>
        <v>6.8</v>
      </c>
    </row>
    <row r="697" spans="1:16" hidden="1" x14ac:dyDescent="0.2">
      <c r="A697">
        <f t="shared" si="13"/>
        <v>696</v>
      </c>
      <c r="B697">
        <v>96</v>
      </c>
      <c r="C697" t="s">
        <v>138</v>
      </c>
      <c r="D697" t="s">
        <v>515</v>
      </c>
      <c r="E697" t="s">
        <v>290</v>
      </c>
      <c r="F697" t="s">
        <v>244</v>
      </c>
      <c r="G697" t="e">
        <v>#N/A</v>
      </c>
      <c r="H697" t="e">
        <v>#N/A</v>
      </c>
      <c r="I697" t="e">
        <v>#N/A</v>
      </c>
      <c r="J697" s="2" t="e">
        <v>#N/A</v>
      </c>
      <c r="K697" s="2">
        <v>2.25</v>
      </c>
      <c r="L697" t="s">
        <v>516</v>
      </c>
      <c r="M697" t="s">
        <v>353</v>
      </c>
      <c r="N697">
        <f>2000+RIGHT(Table1[[#This Row],[Release Date]],2)</f>
        <v>2014</v>
      </c>
      <c r="O697">
        <f>_xlfn.MAXIFS(Table1[[#This Row],[Total Shipped]]:Table1[[#This Row],[Total Sales]],Table1[[#This Row],[Total Shipped]]:Table1[[#This Row],[Total Sales]],"&lt;&gt;#N/A")</f>
        <v>2.25</v>
      </c>
      <c r="P697">
        <f>_xlfn.MAXIFS(Table1[[#This Row],[VGChartz Score]:[User Score]],Table1[[#This Row],[VGChartz Score]:[User Score]],"&lt;&gt;#N/A")</f>
        <v>0</v>
      </c>
    </row>
    <row r="698" spans="1:16" hidden="1" x14ac:dyDescent="0.2">
      <c r="A698">
        <f t="shared" si="13"/>
        <v>697</v>
      </c>
      <c r="B698">
        <v>97</v>
      </c>
      <c r="C698" t="s">
        <v>138</v>
      </c>
      <c r="D698" t="s">
        <v>517</v>
      </c>
      <c r="E698" t="s">
        <v>290</v>
      </c>
      <c r="F698" t="s">
        <v>324</v>
      </c>
      <c r="G698">
        <v>9</v>
      </c>
      <c r="H698" t="e">
        <v>#N/A</v>
      </c>
      <c r="I698" t="e">
        <v>#N/A</v>
      </c>
      <c r="J698" s="1" t="e">
        <v>#N/A</v>
      </c>
      <c r="K698" s="1">
        <v>2.2200000000000002</v>
      </c>
      <c r="L698" t="s">
        <v>518</v>
      </c>
      <c r="M698" t="s">
        <v>519</v>
      </c>
      <c r="N698">
        <f>2000+RIGHT(Table1[[#This Row],[Release Date]],2)</f>
        <v>2018</v>
      </c>
      <c r="O698">
        <f>_xlfn.MAXIFS(Table1[[#This Row],[Total Shipped]]:Table1[[#This Row],[Total Sales]],Table1[[#This Row],[Total Shipped]]:Table1[[#This Row],[Total Sales]],"&lt;&gt;#N/A")</f>
        <v>2.2200000000000002</v>
      </c>
      <c r="P698">
        <f>_xlfn.MAXIFS(Table1[[#This Row],[VGChartz Score]:[User Score]],Table1[[#This Row],[VGChartz Score]:[User Score]],"&lt;&gt;#N/A")</f>
        <v>9</v>
      </c>
    </row>
    <row r="699" spans="1:16" hidden="1" x14ac:dyDescent="0.2">
      <c r="A699">
        <f t="shared" si="13"/>
        <v>698</v>
      </c>
      <c r="B699">
        <v>98</v>
      </c>
      <c r="C699" t="s">
        <v>138</v>
      </c>
      <c r="D699" t="s">
        <v>520</v>
      </c>
      <c r="E699" t="s">
        <v>290</v>
      </c>
      <c r="F699" t="s">
        <v>244</v>
      </c>
      <c r="G699" t="e">
        <v>#N/A</v>
      </c>
      <c r="H699" t="e">
        <v>#N/A</v>
      </c>
      <c r="I699" t="e">
        <v>#N/A</v>
      </c>
      <c r="J699" s="2" t="e">
        <v>#N/A</v>
      </c>
      <c r="K699" s="2">
        <v>2.21</v>
      </c>
      <c r="L699" t="s">
        <v>521</v>
      </c>
      <c r="M699" t="s">
        <v>522</v>
      </c>
      <c r="N699">
        <f>2000+RIGHT(Table1[[#This Row],[Release Date]],2)</f>
        <v>2018</v>
      </c>
      <c r="O699">
        <f>_xlfn.MAXIFS(Table1[[#This Row],[Total Shipped]]:Table1[[#This Row],[Total Sales]],Table1[[#This Row],[Total Shipped]]:Table1[[#This Row],[Total Sales]],"&lt;&gt;#N/A")</f>
        <v>2.21</v>
      </c>
      <c r="P699">
        <f>_xlfn.MAXIFS(Table1[[#This Row],[VGChartz Score]:[User Score]],Table1[[#This Row],[VGChartz Score]:[User Score]],"&lt;&gt;#N/A")</f>
        <v>0</v>
      </c>
    </row>
    <row r="700" spans="1:16" hidden="1" x14ac:dyDescent="0.2">
      <c r="A700">
        <f t="shared" si="13"/>
        <v>699</v>
      </c>
      <c r="B700">
        <v>99</v>
      </c>
      <c r="C700" t="s">
        <v>138</v>
      </c>
      <c r="D700" t="s">
        <v>523</v>
      </c>
      <c r="E700" t="s">
        <v>290</v>
      </c>
      <c r="F700" t="s">
        <v>324</v>
      </c>
      <c r="G700" t="e">
        <v>#N/A</v>
      </c>
      <c r="H700">
        <v>5.8</v>
      </c>
      <c r="I700" t="e">
        <v>#N/A</v>
      </c>
      <c r="J700" s="1" t="e">
        <v>#N/A</v>
      </c>
      <c r="K700" s="1">
        <v>2.1800000000000002</v>
      </c>
      <c r="L700" t="s">
        <v>524</v>
      </c>
      <c r="M700" t="s">
        <v>514</v>
      </c>
      <c r="N700">
        <f>2000+RIGHT(Table1[[#This Row],[Release Date]],2)</f>
        <v>2017</v>
      </c>
      <c r="O700">
        <f>_xlfn.MAXIFS(Table1[[#This Row],[Total Shipped]]:Table1[[#This Row],[Total Sales]],Table1[[#This Row],[Total Shipped]]:Table1[[#This Row],[Total Sales]],"&lt;&gt;#N/A")</f>
        <v>2.1800000000000002</v>
      </c>
      <c r="P700">
        <f>_xlfn.MAXIFS(Table1[[#This Row],[VGChartz Score]:[User Score]],Table1[[#This Row],[VGChartz Score]:[User Score]],"&lt;&gt;#N/A")</f>
        <v>5.8</v>
      </c>
    </row>
    <row r="701" spans="1:16" hidden="1" x14ac:dyDescent="0.2">
      <c r="A701">
        <f t="shared" si="13"/>
        <v>700</v>
      </c>
      <c r="B701">
        <v>100</v>
      </c>
      <c r="C701" t="s">
        <v>138</v>
      </c>
      <c r="D701" t="s">
        <v>525</v>
      </c>
      <c r="E701" t="s">
        <v>290</v>
      </c>
      <c r="F701" t="s">
        <v>233</v>
      </c>
      <c r="G701" t="e">
        <v>#N/A</v>
      </c>
      <c r="H701" t="e">
        <v>#N/A</v>
      </c>
      <c r="I701" t="e">
        <v>#N/A</v>
      </c>
      <c r="J701" s="2" t="e">
        <v>#N/A</v>
      </c>
      <c r="K701" s="2">
        <v>2.1800000000000002</v>
      </c>
      <c r="L701" t="s">
        <v>526</v>
      </c>
      <c r="M701" t="s">
        <v>195</v>
      </c>
      <c r="N701">
        <f>2000+RIGHT(Table1[[#This Row],[Release Date]],2)</f>
        <v>2015</v>
      </c>
      <c r="O701">
        <f>_xlfn.MAXIFS(Table1[[#This Row],[Total Shipped]]:Table1[[#This Row],[Total Sales]],Table1[[#This Row],[Total Shipped]]:Table1[[#This Row],[Total Sales]],"&lt;&gt;#N/A")</f>
        <v>2.1800000000000002</v>
      </c>
      <c r="P701">
        <f>_xlfn.MAXIFS(Table1[[#This Row],[VGChartz Score]:[User Score]],Table1[[#This Row],[VGChartz Score]:[User Score]],"&lt;&gt;#N/A")</f>
        <v>0</v>
      </c>
    </row>
    <row r="702" spans="1:16" hidden="1" x14ac:dyDescent="0.2">
      <c r="A702">
        <f t="shared" si="13"/>
        <v>701</v>
      </c>
      <c r="B702">
        <v>1</v>
      </c>
      <c r="C702" t="s">
        <v>138</v>
      </c>
      <c r="D702" t="s">
        <v>1754</v>
      </c>
      <c r="E702" t="s">
        <v>1755</v>
      </c>
      <c r="F702" t="s">
        <v>1</v>
      </c>
      <c r="G702">
        <v>8.4</v>
      </c>
      <c r="H702">
        <v>8.8000000000000007</v>
      </c>
      <c r="I702" t="e">
        <v>#N/A</v>
      </c>
      <c r="J702" s="1">
        <v>8.4600000000000009</v>
      </c>
      <c r="K702" s="1" t="e">
        <v>#N/A</v>
      </c>
      <c r="L702" t="s">
        <v>1389</v>
      </c>
      <c r="M702" t="s">
        <v>27</v>
      </c>
      <c r="N702">
        <f>2000+RIGHT(Table1[[#This Row],[Release Date]],2)</f>
        <v>2014</v>
      </c>
      <c r="O702">
        <f>_xlfn.MAXIFS(Table1[[#This Row],[Total Shipped]]:Table1[[#This Row],[Total Sales]],Table1[[#This Row],[Total Shipped]]:Table1[[#This Row],[Total Sales]],"&lt;&gt;#N/A")</f>
        <v>8.4600000000000009</v>
      </c>
      <c r="P702">
        <f>_xlfn.MAXIFS(Table1[[#This Row],[VGChartz Score]:[User Score]],Table1[[#This Row],[VGChartz Score]:[User Score]],"&lt;&gt;#N/A")</f>
        <v>8.8000000000000007</v>
      </c>
    </row>
    <row r="703" spans="1:16" hidden="1" x14ac:dyDescent="0.2">
      <c r="A703">
        <f t="shared" si="13"/>
        <v>702</v>
      </c>
      <c r="B703">
        <v>2</v>
      </c>
      <c r="C703" t="s">
        <v>138</v>
      </c>
      <c r="D703" t="s">
        <v>1756</v>
      </c>
      <c r="E703" t="s">
        <v>1755</v>
      </c>
      <c r="F703" t="s">
        <v>1</v>
      </c>
      <c r="G703">
        <v>9.3000000000000007</v>
      </c>
      <c r="H703">
        <v>9.5</v>
      </c>
      <c r="I703" t="e">
        <v>#N/A</v>
      </c>
      <c r="J703" s="2">
        <v>5.89</v>
      </c>
      <c r="K703" s="2" t="e">
        <v>#N/A</v>
      </c>
      <c r="L703" t="s">
        <v>1135</v>
      </c>
      <c r="M703" t="s">
        <v>1115</v>
      </c>
      <c r="N703">
        <f>2000+RIGHT(Table1[[#This Row],[Release Date]],2)</f>
        <v>2013</v>
      </c>
      <c r="O703">
        <f>_xlfn.MAXIFS(Table1[[#This Row],[Total Shipped]]:Table1[[#This Row],[Total Sales]],Table1[[#This Row],[Total Shipped]]:Table1[[#This Row],[Total Sales]],"&lt;&gt;#N/A")</f>
        <v>5.89</v>
      </c>
      <c r="P703">
        <f>_xlfn.MAXIFS(Table1[[#This Row],[VGChartz Score]:[User Score]],Table1[[#This Row],[VGChartz Score]:[User Score]],"&lt;&gt;#N/A")</f>
        <v>9.5</v>
      </c>
    </row>
    <row r="704" spans="1:16" hidden="1" x14ac:dyDescent="0.2">
      <c r="A704">
        <f t="shared" ref="A704:A753" si="14">ROW()-1</f>
        <v>703</v>
      </c>
      <c r="B704">
        <v>3</v>
      </c>
      <c r="C704" t="s">
        <v>138</v>
      </c>
      <c r="D704" t="s">
        <v>1757</v>
      </c>
      <c r="E704" t="s">
        <v>1755</v>
      </c>
      <c r="F704" t="s">
        <v>1</v>
      </c>
      <c r="G704">
        <v>8.1999999999999993</v>
      </c>
      <c r="H704">
        <v>8.4</v>
      </c>
      <c r="I704" t="e">
        <v>#N/A</v>
      </c>
      <c r="J704" s="1">
        <v>5.82</v>
      </c>
      <c r="K704" s="1" t="e">
        <v>#N/A</v>
      </c>
      <c r="L704" t="s">
        <v>1758</v>
      </c>
      <c r="M704" t="s">
        <v>27</v>
      </c>
      <c r="N704">
        <f>2000+RIGHT(Table1[[#This Row],[Release Date]],2)</f>
        <v>2012</v>
      </c>
      <c r="O704">
        <f>_xlfn.MAXIFS(Table1[[#This Row],[Total Shipped]]:Table1[[#This Row],[Total Sales]],Table1[[#This Row],[Total Shipped]]:Table1[[#This Row],[Total Sales]],"&lt;&gt;#N/A")</f>
        <v>5.82</v>
      </c>
      <c r="P704">
        <f>_xlfn.MAXIFS(Table1[[#This Row],[VGChartz Score]:[User Score]],Table1[[#This Row],[VGChartz Score]:[User Score]],"&lt;&gt;#N/A")</f>
        <v>8.4</v>
      </c>
    </row>
    <row r="705" spans="1:16" hidden="1" x14ac:dyDescent="0.2">
      <c r="A705">
        <f t="shared" si="14"/>
        <v>704</v>
      </c>
      <c r="B705">
        <v>4</v>
      </c>
      <c r="C705" t="s">
        <v>138</v>
      </c>
      <c r="D705" t="s">
        <v>1759</v>
      </c>
      <c r="E705" t="s">
        <v>1755</v>
      </c>
      <c r="F705" t="s">
        <v>1</v>
      </c>
      <c r="G705" t="e">
        <v>#N/A</v>
      </c>
      <c r="H705">
        <v>9.1999999999999993</v>
      </c>
      <c r="I705" t="e">
        <v>#N/A</v>
      </c>
      <c r="J705" s="2">
        <v>5.38</v>
      </c>
      <c r="K705" s="2" t="e">
        <v>#N/A</v>
      </c>
      <c r="L705" t="s">
        <v>1110</v>
      </c>
      <c r="M705" t="s">
        <v>566</v>
      </c>
      <c r="N705">
        <f>2000+RIGHT(Table1[[#This Row],[Release Date]],2)</f>
        <v>2014</v>
      </c>
      <c r="O705">
        <f>_xlfn.MAXIFS(Table1[[#This Row],[Total Shipped]]:Table1[[#This Row],[Total Sales]],Table1[[#This Row],[Total Shipped]]:Table1[[#This Row],[Total Sales]],"&lt;&gt;#N/A")</f>
        <v>5.38</v>
      </c>
      <c r="P705">
        <f>_xlfn.MAXIFS(Table1[[#This Row],[VGChartz Score]:[User Score]],Table1[[#This Row],[VGChartz Score]:[User Score]],"&lt;&gt;#N/A")</f>
        <v>9.1999999999999993</v>
      </c>
    </row>
    <row r="706" spans="1:16" hidden="1" x14ac:dyDescent="0.2">
      <c r="A706">
        <f t="shared" si="14"/>
        <v>705</v>
      </c>
      <c r="B706">
        <v>5</v>
      </c>
      <c r="C706" t="s">
        <v>138</v>
      </c>
      <c r="D706" t="s">
        <v>1760</v>
      </c>
      <c r="E706" t="s">
        <v>1755</v>
      </c>
      <c r="F706" t="s">
        <v>1</v>
      </c>
      <c r="G706">
        <v>8</v>
      </c>
      <c r="H706">
        <v>7.5</v>
      </c>
      <c r="I706" t="e">
        <v>#N/A</v>
      </c>
      <c r="J706" s="1">
        <v>5.21</v>
      </c>
      <c r="K706" s="1" t="e">
        <v>#N/A</v>
      </c>
      <c r="L706" t="s">
        <v>1758</v>
      </c>
      <c r="M706" t="s">
        <v>1761</v>
      </c>
      <c r="N706">
        <f>2000+RIGHT(Table1[[#This Row],[Release Date]],2)</f>
        <v>2012</v>
      </c>
      <c r="O706">
        <f>_xlfn.MAXIFS(Table1[[#This Row],[Total Shipped]]:Table1[[#This Row],[Total Sales]],Table1[[#This Row],[Total Shipped]]:Table1[[#This Row],[Total Sales]],"&lt;&gt;#N/A")</f>
        <v>5.21</v>
      </c>
      <c r="P706">
        <f>_xlfn.MAXIFS(Table1[[#This Row],[VGChartz Score]:[User Score]],Table1[[#This Row],[VGChartz Score]:[User Score]],"&lt;&gt;#N/A")</f>
        <v>8</v>
      </c>
    </row>
    <row r="707" spans="1:16" hidden="1" x14ac:dyDescent="0.2">
      <c r="A707">
        <f t="shared" si="14"/>
        <v>706</v>
      </c>
      <c r="B707">
        <v>6</v>
      </c>
      <c r="C707" t="s">
        <v>138</v>
      </c>
      <c r="D707" t="s">
        <v>1762</v>
      </c>
      <c r="E707" t="s">
        <v>1755</v>
      </c>
      <c r="F707" t="s">
        <v>1</v>
      </c>
      <c r="G707" t="e">
        <v>#N/A</v>
      </c>
      <c r="H707">
        <v>8.4</v>
      </c>
      <c r="I707" t="e">
        <v>#N/A</v>
      </c>
      <c r="J707" s="2">
        <v>4.95</v>
      </c>
      <c r="K707" s="2" t="e">
        <v>#N/A</v>
      </c>
      <c r="L707" t="s">
        <v>1763</v>
      </c>
      <c r="M707" t="s">
        <v>46</v>
      </c>
      <c r="N707">
        <f>2000+RIGHT(Table1[[#This Row],[Release Date]],2)</f>
        <v>2015</v>
      </c>
      <c r="O707">
        <f>_xlfn.MAXIFS(Table1[[#This Row],[Total Shipped]]:Table1[[#This Row],[Total Sales]],Table1[[#This Row],[Total Shipped]]:Table1[[#This Row],[Total Sales]],"&lt;&gt;#N/A")</f>
        <v>4.95</v>
      </c>
      <c r="P707">
        <f>_xlfn.MAXIFS(Table1[[#This Row],[VGChartz Score]:[User Score]],Table1[[#This Row],[VGChartz Score]:[User Score]],"&lt;&gt;#N/A")</f>
        <v>8.4</v>
      </c>
    </row>
    <row r="708" spans="1:16" hidden="1" x14ac:dyDescent="0.2">
      <c r="A708">
        <f t="shared" si="14"/>
        <v>707</v>
      </c>
      <c r="B708">
        <v>7</v>
      </c>
      <c r="C708" t="s">
        <v>138</v>
      </c>
      <c r="D708" t="s">
        <v>1141</v>
      </c>
      <c r="E708" t="s">
        <v>1755</v>
      </c>
      <c r="F708" t="s">
        <v>1</v>
      </c>
      <c r="G708" t="e">
        <v>#N/A</v>
      </c>
      <c r="H708">
        <v>8.8000000000000007</v>
      </c>
      <c r="I708" t="e">
        <v>#N/A</v>
      </c>
      <c r="J708" s="1">
        <v>4.0199999999999996</v>
      </c>
      <c r="K708" s="1" t="e">
        <v>#N/A</v>
      </c>
      <c r="L708" t="s">
        <v>1764</v>
      </c>
      <c r="M708" t="s">
        <v>1143</v>
      </c>
      <c r="N708">
        <f>2000+RIGHT(Table1[[#This Row],[Release Date]],2)</f>
        <v>2015</v>
      </c>
      <c r="O708">
        <f>_xlfn.MAXIFS(Table1[[#This Row],[Total Shipped]]:Table1[[#This Row],[Total Sales]],Table1[[#This Row],[Total Shipped]]:Table1[[#This Row],[Total Sales]],"&lt;&gt;#N/A")</f>
        <v>4.0199999999999996</v>
      </c>
      <c r="P708">
        <f>_xlfn.MAXIFS(Table1[[#This Row],[VGChartz Score]:[User Score]],Table1[[#This Row],[VGChartz Score]:[User Score]],"&lt;&gt;#N/A")</f>
        <v>8.8000000000000007</v>
      </c>
    </row>
    <row r="709" spans="1:16" hidden="1" x14ac:dyDescent="0.2">
      <c r="A709">
        <f t="shared" si="14"/>
        <v>708</v>
      </c>
      <c r="B709">
        <v>8</v>
      </c>
      <c r="C709" t="s">
        <v>138</v>
      </c>
      <c r="D709" t="s">
        <v>1765</v>
      </c>
      <c r="E709" t="s">
        <v>1755</v>
      </c>
      <c r="F709" t="s">
        <v>1</v>
      </c>
      <c r="G709">
        <v>8.1999999999999993</v>
      </c>
      <c r="H709">
        <v>7.8</v>
      </c>
      <c r="I709" t="e">
        <v>#N/A</v>
      </c>
      <c r="J709" s="2">
        <v>3.07</v>
      </c>
      <c r="K709" s="2" t="e">
        <v>#N/A</v>
      </c>
      <c r="L709" t="s">
        <v>1766</v>
      </c>
      <c r="M709" t="s">
        <v>153</v>
      </c>
      <c r="N709">
        <f>2000+RIGHT(Table1[[#This Row],[Release Date]],2)</f>
        <v>2013</v>
      </c>
      <c r="O709">
        <f>_xlfn.MAXIFS(Table1[[#This Row],[Total Shipped]]:Table1[[#This Row],[Total Sales]],Table1[[#This Row],[Total Shipped]]:Table1[[#This Row],[Total Sales]],"&lt;&gt;#N/A")</f>
        <v>3.07</v>
      </c>
      <c r="P709">
        <f>_xlfn.MAXIFS(Table1[[#This Row],[VGChartz Score]:[User Score]],Table1[[#This Row],[VGChartz Score]:[User Score]],"&lt;&gt;#N/A")</f>
        <v>8.1999999999999993</v>
      </c>
    </row>
    <row r="710" spans="1:16" hidden="1" x14ac:dyDescent="0.2">
      <c r="A710">
        <f t="shared" si="14"/>
        <v>709</v>
      </c>
      <c r="B710">
        <v>9</v>
      </c>
      <c r="C710" t="s">
        <v>138</v>
      </c>
      <c r="D710" t="s">
        <v>725</v>
      </c>
      <c r="E710" t="s">
        <v>1755</v>
      </c>
      <c r="F710" t="s">
        <v>1</v>
      </c>
      <c r="G710">
        <v>9.3000000000000007</v>
      </c>
      <c r="H710">
        <v>9.3000000000000007</v>
      </c>
      <c r="I710" t="e">
        <v>#N/A</v>
      </c>
      <c r="J710" s="1">
        <v>2.37</v>
      </c>
      <c r="K710" s="1" t="e">
        <v>#N/A</v>
      </c>
      <c r="L710" t="s">
        <v>1767</v>
      </c>
      <c r="M710" t="s">
        <v>1258</v>
      </c>
      <c r="N710">
        <f>2000+RIGHT(Table1[[#This Row],[Release Date]],2)</f>
        <v>2013</v>
      </c>
      <c r="O710">
        <f>_xlfn.MAXIFS(Table1[[#This Row],[Total Shipped]]:Table1[[#This Row],[Total Sales]],Table1[[#This Row],[Total Shipped]]:Table1[[#This Row],[Total Sales]],"&lt;&gt;#N/A")</f>
        <v>2.37</v>
      </c>
      <c r="P710">
        <f>_xlfn.MAXIFS(Table1[[#This Row],[VGChartz Score]:[User Score]],Table1[[#This Row],[VGChartz Score]:[User Score]],"&lt;&gt;#N/A")</f>
        <v>9.3000000000000007</v>
      </c>
    </row>
    <row r="711" spans="1:16" hidden="1" x14ac:dyDescent="0.2">
      <c r="A711">
        <f t="shared" si="14"/>
        <v>710</v>
      </c>
      <c r="B711">
        <v>10</v>
      </c>
      <c r="C711" t="s">
        <v>138</v>
      </c>
      <c r="D711" t="s">
        <v>1768</v>
      </c>
      <c r="E711" t="s">
        <v>1755</v>
      </c>
      <c r="F711" t="s">
        <v>1</v>
      </c>
      <c r="G711" t="e">
        <v>#N/A</v>
      </c>
      <c r="H711">
        <v>6.3</v>
      </c>
      <c r="I711" t="e">
        <v>#N/A</v>
      </c>
      <c r="J711" s="2">
        <v>2.27</v>
      </c>
      <c r="K711" s="2" t="e">
        <v>#N/A</v>
      </c>
      <c r="L711" t="s">
        <v>1769</v>
      </c>
      <c r="M711" t="s">
        <v>153</v>
      </c>
      <c r="N711">
        <f>2000+RIGHT(Table1[[#This Row],[Release Date]],2)</f>
        <v>2015</v>
      </c>
      <c r="O711">
        <f>_xlfn.MAXIFS(Table1[[#This Row],[Total Shipped]]:Table1[[#This Row],[Total Sales]],Table1[[#This Row],[Total Shipped]]:Table1[[#This Row],[Total Sales]],"&lt;&gt;#N/A")</f>
        <v>2.27</v>
      </c>
      <c r="P711">
        <f>_xlfn.MAXIFS(Table1[[#This Row],[VGChartz Score]:[User Score]],Table1[[#This Row],[VGChartz Score]:[User Score]],"&lt;&gt;#N/A")</f>
        <v>6.3</v>
      </c>
    </row>
    <row r="712" spans="1:16" hidden="1" x14ac:dyDescent="0.2">
      <c r="A712">
        <f t="shared" si="14"/>
        <v>711</v>
      </c>
      <c r="B712">
        <v>11</v>
      </c>
      <c r="C712" t="s">
        <v>138</v>
      </c>
      <c r="D712" t="s">
        <v>84</v>
      </c>
      <c r="E712" t="s">
        <v>1755</v>
      </c>
      <c r="F712" t="s">
        <v>1</v>
      </c>
      <c r="G712">
        <v>7.4</v>
      </c>
      <c r="H712">
        <v>8.8000000000000007</v>
      </c>
      <c r="I712">
        <v>9.1</v>
      </c>
      <c r="J712" s="1">
        <v>2.02</v>
      </c>
      <c r="K712" s="1" t="e">
        <v>#N/A</v>
      </c>
      <c r="L712" t="s">
        <v>1770</v>
      </c>
      <c r="M712" t="s">
        <v>1771</v>
      </c>
      <c r="N712">
        <f>2000+RIGHT(Table1[[#This Row],[Release Date]],2)</f>
        <v>2014</v>
      </c>
      <c r="O712">
        <f>_xlfn.MAXIFS(Table1[[#This Row],[Total Shipped]]:Table1[[#This Row],[Total Sales]],Table1[[#This Row],[Total Shipped]]:Table1[[#This Row],[Total Sales]],"&lt;&gt;#N/A")</f>
        <v>2.02</v>
      </c>
      <c r="P712">
        <f>_xlfn.MAXIFS(Table1[[#This Row],[VGChartz Score]:[User Score]],Table1[[#This Row],[VGChartz Score]:[User Score]],"&lt;&gt;#N/A")</f>
        <v>9.1</v>
      </c>
    </row>
    <row r="713" spans="1:16" hidden="1" x14ac:dyDescent="0.2">
      <c r="A713">
        <f t="shared" si="14"/>
        <v>712</v>
      </c>
      <c r="B713">
        <v>12</v>
      </c>
      <c r="C713" t="s">
        <v>138</v>
      </c>
      <c r="D713" t="s">
        <v>1772</v>
      </c>
      <c r="E713" t="s">
        <v>1755</v>
      </c>
      <c r="F713" t="s">
        <v>1</v>
      </c>
      <c r="G713">
        <v>5.5</v>
      </c>
      <c r="H713">
        <v>6.6</v>
      </c>
      <c r="I713" t="e">
        <v>#N/A</v>
      </c>
      <c r="J713" s="2">
        <v>1.79</v>
      </c>
      <c r="K713" s="2" t="e">
        <v>#N/A</v>
      </c>
      <c r="L713" t="s">
        <v>668</v>
      </c>
      <c r="M713" t="s">
        <v>3</v>
      </c>
      <c r="N713">
        <f>2000+RIGHT(Table1[[#This Row],[Release Date]],2)</f>
        <v>2013</v>
      </c>
      <c r="O713">
        <f>_xlfn.MAXIFS(Table1[[#This Row],[Total Shipped]]:Table1[[#This Row],[Total Sales]],Table1[[#This Row],[Total Shipped]]:Table1[[#This Row],[Total Sales]],"&lt;&gt;#N/A")</f>
        <v>1.79</v>
      </c>
      <c r="P713">
        <f>_xlfn.MAXIFS(Table1[[#This Row],[VGChartz Score]:[User Score]],Table1[[#This Row],[VGChartz Score]:[User Score]],"&lt;&gt;#N/A")</f>
        <v>6.6</v>
      </c>
    </row>
    <row r="714" spans="1:16" hidden="1" x14ac:dyDescent="0.2">
      <c r="A714">
        <f t="shared" si="14"/>
        <v>713</v>
      </c>
      <c r="B714">
        <v>13</v>
      </c>
      <c r="C714" t="s">
        <v>138</v>
      </c>
      <c r="D714" t="s">
        <v>10</v>
      </c>
      <c r="E714" t="s">
        <v>1755</v>
      </c>
      <c r="F714" t="s">
        <v>1</v>
      </c>
      <c r="G714" t="e">
        <v>#N/A</v>
      </c>
      <c r="H714">
        <v>10</v>
      </c>
      <c r="I714">
        <v>10</v>
      </c>
      <c r="J714" s="1">
        <v>1.7</v>
      </c>
      <c r="K714" s="1" t="e">
        <v>#N/A</v>
      </c>
      <c r="L714" t="s">
        <v>11</v>
      </c>
      <c r="M714" t="s">
        <v>3</v>
      </c>
      <c r="N714">
        <f>2000+RIGHT(Table1[[#This Row],[Release Date]],2)</f>
        <v>2017</v>
      </c>
      <c r="O714">
        <f>_xlfn.MAXIFS(Table1[[#This Row],[Total Shipped]]:Table1[[#This Row],[Total Sales]],Table1[[#This Row],[Total Shipped]]:Table1[[#This Row],[Total Sales]],"&lt;&gt;#N/A")</f>
        <v>1.7</v>
      </c>
      <c r="P714">
        <f>_xlfn.MAXIFS(Table1[[#This Row],[VGChartz Score]:[User Score]],Table1[[#This Row],[VGChartz Score]:[User Score]],"&lt;&gt;#N/A")</f>
        <v>10</v>
      </c>
    </row>
    <row r="715" spans="1:16" hidden="1" x14ac:dyDescent="0.2">
      <c r="A715">
        <f t="shared" si="14"/>
        <v>714</v>
      </c>
      <c r="B715">
        <v>14</v>
      </c>
      <c r="C715" t="s">
        <v>138</v>
      </c>
      <c r="D715" t="s">
        <v>1773</v>
      </c>
      <c r="E715" t="s">
        <v>1755</v>
      </c>
      <c r="F715" t="s">
        <v>1</v>
      </c>
      <c r="G715" t="e">
        <v>#N/A</v>
      </c>
      <c r="H715">
        <v>7.4</v>
      </c>
      <c r="I715">
        <v>6</v>
      </c>
      <c r="J715" s="2">
        <v>1.57</v>
      </c>
      <c r="K715" s="2" t="e">
        <v>#N/A</v>
      </c>
      <c r="L715" t="s">
        <v>1774</v>
      </c>
      <c r="M715" t="s">
        <v>46</v>
      </c>
      <c r="N715">
        <f>2000+RIGHT(Table1[[#This Row],[Release Date]],2)</f>
        <v>2015</v>
      </c>
      <c r="O715">
        <f>_xlfn.MAXIFS(Table1[[#This Row],[Total Shipped]]:Table1[[#This Row],[Total Sales]],Table1[[#This Row],[Total Shipped]]:Table1[[#This Row],[Total Sales]],"&lt;&gt;#N/A")</f>
        <v>1.57</v>
      </c>
      <c r="P715">
        <f>_xlfn.MAXIFS(Table1[[#This Row],[VGChartz Score]:[User Score]],Table1[[#This Row],[VGChartz Score]:[User Score]],"&lt;&gt;#N/A")</f>
        <v>7.4</v>
      </c>
    </row>
    <row r="716" spans="1:16" hidden="1" x14ac:dyDescent="0.2">
      <c r="A716">
        <f t="shared" si="14"/>
        <v>715</v>
      </c>
      <c r="B716">
        <v>15</v>
      </c>
      <c r="C716" t="s">
        <v>138</v>
      </c>
      <c r="D716" t="s">
        <v>163</v>
      </c>
      <c r="E716" t="s">
        <v>1755</v>
      </c>
      <c r="F716" t="s">
        <v>164</v>
      </c>
      <c r="G716" t="e">
        <v>#N/A</v>
      </c>
      <c r="H716">
        <v>5.5</v>
      </c>
      <c r="I716" t="e">
        <v>#N/A</v>
      </c>
      <c r="J716" s="1" t="e">
        <v>#N/A</v>
      </c>
      <c r="K716" s="1">
        <v>1.47</v>
      </c>
      <c r="L716" t="s">
        <v>1775</v>
      </c>
      <c r="M716" t="s">
        <v>569</v>
      </c>
      <c r="N716">
        <f>2000+RIGHT(Table1[[#This Row],[Release Date]],2)</f>
        <v>2016</v>
      </c>
      <c r="O716">
        <f>_xlfn.MAXIFS(Table1[[#This Row],[Total Shipped]]:Table1[[#This Row],[Total Sales]],Table1[[#This Row],[Total Shipped]]:Table1[[#This Row],[Total Sales]],"&lt;&gt;#N/A")</f>
        <v>1.47</v>
      </c>
      <c r="P716">
        <f>_xlfn.MAXIFS(Table1[[#This Row],[VGChartz Score]:[User Score]],Table1[[#This Row],[VGChartz Score]:[User Score]],"&lt;&gt;#N/A")</f>
        <v>5.5</v>
      </c>
    </row>
    <row r="717" spans="1:16" hidden="1" x14ac:dyDescent="0.2">
      <c r="A717">
        <f t="shared" si="14"/>
        <v>716</v>
      </c>
      <c r="B717">
        <v>16</v>
      </c>
      <c r="C717" t="s">
        <v>138</v>
      </c>
      <c r="D717" t="s">
        <v>140</v>
      </c>
      <c r="E717" t="s">
        <v>1755</v>
      </c>
      <c r="F717" t="s">
        <v>1</v>
      </c>
      <c r="G717" t="e">
        <v>#N/A</v>
      </c>
      <c r="H717">
        <v>7.7</v>
      </c>
      <c r="I717" t="e">
        <v>#N/A</v>
      </c>
      <c r="J717" s="2">
        <v>1.37</v>
      </c>
      <c r="K717" s="2" t="e">
        <v>#N/A</v>
      </c>
      <c r="L717" t="s">
        <v>1776</v>
      </c>
      <c r="M717" t="s">
        <v>1154</v>
      </c>
      <c r="N717">
        <f>2000+RIGHT(Table1[[#This Row],[Release Date]],2)</f>
        <v>2014</v>
      </c>
      <c r="O717">
        <f>_xlfn.MAXIFS(Table1[[#This Row],[Total Shipped]]:Table1[[#This Row],[Total Sales]],Table1[[#This Row],[Total Shipped]]:Table1[[#This Row],[Total Sales]],"&lt;&gt;#N/A")</f>
        <v>1.37</v>
      </c>
      <c r="P717">
        <f>_xlfn.MAXIFS(Table1[[#This Row],[VGChartz Score]:[User Score]],Table1[[#This Row],[VGChartz Score]:[User Score]],"&lt;&gt;#N/A")</f>
        <v>7.7</v>
      </c>
    </row>
    <row r="718" spans="1:16" hidden="1" x14ac:dyDescent="0.2">
      <c r="A718">
        <f t="shared" si="14"/>
        <v>717</v>
      </c>
      <c r="B718">
        <v>17</v>
      </c>
      <c r="C718" t="s">
        <v>138</v>
      </c>
      <c r="D718" t="s">
        <v>1777</v>
      </c>
      <c r="E718" t="s">
        <v>1755</v>
      </c>
      <c r="F718" t="s">
        <v>1</v>
      </c>
      <c r="G718">
        <v>8.5</v>
      </c>
      <c r="H718">
        <v>8.6999999999999993</v>
      </c>
      <c r="I718" t="e">
        <v>#N/A</v>
      </c>
      <c r="J718" s="1">
        <v>1.27</v>
      </c>
      <c r="K718" s="1" t="e">
        <v>#N/A</v>
      </c>
      <c r="L718" t="s">
        <v>1778</v>
      </c>
      <c r="M718" t="s">
        <v>137</v>
      </c>
      <c r="N718">
        <f>2000+RIGHT(Table1[[#This Row],[Release Date]],2)</f>
        <v>2013</v>
      </c>
      <c r="O718">
        <f>_xlfn.MAXIFS(Table1[[#This Row],[Total Shipped]]:Table1[[#This Row],[Total Sales]],Table1[[#This Row],[Total Shipped]]:Table1[[#This Row],[Total Sales]],"&lt;&gt;#N/A")</f>
        <v>1.27</v>
      </c>
      <c r="P718">
        <f>_xlfn.MAXIFS(Table1[[#This Row],[VGChartz Score]:[User Score]],Table1[[#This Row],[VGChartz Score]:[User Score]],"&lt;&gt;#N/A")</f>
        <v>8.6999999999999993</v>
      </c>
    </row>
    <row r="719" spans="1:16" hidden="1" x14ac:dyDescent="0.2">
      <c r="A719">
        <f t="shared" si="14"/>
        <v>718</v>
      </c>
      <c r="B719">
        <v>18</v>
      </c>
      <c r="C719" t="s">
        <v>138</v>
      </c>
      <c r="D719" t="s">
        <v>1779</v>
      </c>
      <c r="E719" t="s">
        <v>1755</v>
      </c>
      <c r="F719" t="s">
        <v>1</v>
      </c>
      <c r="G719" t="e">
        <v>#N/A</v>
      </c>
      <c r="H719">
        <v>8.4</v>
      </c>
      <c r="I719" t="e">
        <v>#N/A</v>
      </c>
      <c r="J719" s="2">
        <v>1.1599999999999999</v>
      </c>
      <c r="K719" s="2" t="e">
        <v>#N/A</v>
      </c>
      <c r="L719" t="s">
        <v>1780</v>
      </c>
      <c r="M719" t="s">
        <v>1258</v>
      </c>
      <c r="N719">
        <f>2000+RIGHT(Table1[[#This Row],[Release Date]],2)</f>
        <v>2016</v>
      </c>
      <c r="O719">
        <f>_xlfn.MAXIFS(Table1[[#This Row],[Total Shipped]]:Table1[[#This Row],[Total Sales]],Table1[[#This Row],[Total Shipped]]:Table1[[#This Row],[Total Sales]],"&lt;&gt;#N/A")</f>
        <v>1.1599999999999999</v>
      </c>
      <c r="P719">
        <f>_xlfn.MAXIFS(Table1[[#This Row],[VGChartz Score]:[User Score]],Table1[[#This Row],[VGChartz Score]:[User Score]],"&lt;&gt;#N/A")</f>
        <v>8.4</v>
      </c>
    </row>
    <row r="720" spans="1:16" hidden="1" x14ac:dyDescent="0.2">
      <c r="A720">
        <f t="shared" si="14"/>
        <v>719</v>
      </c>
      <c r="B720">
        <v>19</v>
      </c>
      <c r="C720" t="s">
        <v>138</v>
      </c>
      <c r="D720" t="s">
        <v>1781</v>
      </c>
      <c r="E720" t="s">
        <v>1755</v>
      </c>
      <c r="F720" t="s">
        <v>1</v>
      </c>
      <c r="G720">
        <v>7.8</v>
      </c>
      <c r="H720">
        <v>7.5</v>
      </c>
      <c r="I720" t="e">
        <v>#N/A</v>
      </c>
      <c r="J720" s="1">
        <v>1.1499999999999999</v>
      </c>
      <c r="K720" s="1" t="e">
        <v>#N/A</v>
      </c>
      <c r="L720" t="s">
        <v>1782</v>
      </c>
      <c r="M720" t="s">
        <v>1258</v>
      </c>
      <c r="N720">
        <f>2000+RIGHT(Table1[[#This Row],[Release Date]],2)</f>
        <v>2013</v>
      </c>
      <c r="O720">
        <f>_xlfn.MAXIFS(Table1[[#This Row],[Total Shipped]]:Table1[[#This Row],[Total Sales]],Table1[[#This Row],[Total Shipped]]:Table1[[#This Row],[Total Sales]],"&lt;&gt;#N/A")</f>
        <v>1.1499999999999999</v>
      </c>
      <c r="P720">
        <f>_xlfn.MAXIFS(Table1[[#This Row],[VGChartz Score]:[User Score]],Table1[[#This Row],[VGChartz Score]:[User Score]],"&lt;&gt;#N/A")</f>
        <v>7.8</v>
      </c>
    </row>
    <row r="721" spans="1:16" hidden="1" x14ac:dyDescent="0.2">
      <c r="A721">
        <f t="shared" si="14"/>
        <v>720</v>
      </c>
      <c r="B721">
        <v>20</v>
      </c>
      <c r="C721" t="s">
        <v>138</v>
      </c>
      <c r="D721" t="s">
        <v>1783</v>
      </c>
      <c r="E721" t="s">
        <v>1755</v>
      </c>
      <c r="F721" t="s">
        <v>1</v>
      </c>
      <c r="G721" t="e">
        <v>#N/A</v>
      </c>
      <c r="H721">
        <v>7.4</v>
      </c>
      <c r="I721" t="e">
        <v>#N/A</v>
      </c>
      <c r="J721" s="2">
        <v>1</v>
      </c>
      <c r="K721" s="2" t="e">
        <v>#N/A</v>
      </c>
      <c r="L721" t="s">
        <v>1784</v>
      </c>
      <c r="M721" t="s">
        <v>1154</v>
      </c>
      <c r="N721">
        <f>2000+RIGHT(Table1[[#This Row],[Release Date]],2)</f>
        <v>2014</v>
      </c>
      <c r="O721">
        <f>_xlfn.MAXIFS(Table1[[#This Row],[Total Shipped]]:Table1[[#This Row],[Total Sales]],Table1[[#This Row],[Total Shipped]]:Table1[[#This Row],[Total Sales]],"&lt;&gt;#N/A")</f>
        <v>1</v>
      </c>
      <c r="P721">
        <f>_xlfn.MAXIFS(Table1[[#This Row],[VGChartz Score]:[User Score]],Table1[[#This Row],[VGChartz Score]:[User Score]],"&lt;&gt;#N/A")</f>
        <v>7.4</v>
      </c>
    </row>
    <row r="722" spans="1:16" hidden="1" x14ac:dyDescent="0.2">
      <c r="A722">
        <f t="shared" si="14"/>
        <v>721</v>
      </c>
      <c r="B722">
        <v>21</v>
      </c>
      <c r="C722" t="s">
        <v>138</v>
      </c>
      <c r="D722" t="s">
        <v>1785</v>
      </c>
      <c r="E722" t="s">
        <v>1755</v>
      </c>
      <c r="F722" t="s">
        <v>1</v>
      </c>
      <c r="G722" t="e">
        <v>#N/A</v>
      </c>
      <c r="H722">
        <v>7.6</v>
      </c>
      <c r="I722" t="e">
        <v>#N/A</v>
      </c>
      <c r="J722" s="1">
        <v>1</v>
      </c>
      <c r="K722" s="1" t="e">
        <v>#N/A</v>
      </c>
      <c r="L722" t="s">
        <v>1260</v>
      </c>
      <c r="M722" t="s">
        <v>153</v>
      </c>
      <c r="N722">
        <f>2000+RIGHT(Table1[[#This Row],[Release Date]],2)</f>
        <v>2016</v>
      </c>
      <c r="O722">
        <f>_xlfn.MAXIFS(Table1[[#This Row],[Total Shipped]]:Table1[[#This Row],[Total Sales]],Table1[[#This Row],[Total Shipped]]:Table1[[#This Row],[Total Sales]],"&lt;&gt;#N/A")</f>
        <v>1</v>
      </c>
      <c r="P722">
        <f>_xlfn.MAXIFS(Table1[[#This Row],[VGChartz Score]:[User Score]],Table1[[#This Row],[VGChartz Score]:[User Score]],"&lt;&gt;#N/A")</f>
        <v>7.6</v>
      </c>
    </row>
    <row r="723" spans="1:16" hidden="1" x14ac:dyDescent="0.2">
      <c r="A723">
        <f t="shared" si="14"/>
        <v>722</v>
      </c>
      <c r="B723">
        <v>22</v>
      </c>
      <c r="C723" t="s">
        <v>138</v>
      </c>
      <c r="D723" t="s">
        <v>1786</v>
      </c>
      <c r="E723" t="s">
        <v>1755</v>
      </c>
      <c r="F723" t="s">
        <v>1</v>
      </c>
      <c r="G723" t="e">
        <v>#N/A</v>
      </c>
      <c r="H723">
        <v>7.4</v>
      </c>
      <c r="I723">
        <v>6.4</v>
      </c>
      <c r="J723" s="2" t="e">
        <v>#N/A</v>
      </c>
      <c r="K723" s="2">
        <v>0.87</v>
      </c>
      <c r="L723" t="s">
        <v>485</v>
      </c>
      <c r="M723" t="s">
        <v>463</v>
      </c>
      <c r="N723">
        <f>2000+RIGHT(Table1[[#This Row],[Release Date]],2)</f>
        <v>2016</v>
      </c>
      <c r="O723">
        <f>_xlfn.MAXIFS(Table1[[#This Row],[Total Shipped]]:Table1[[#This Row],[Total Sales]],Table1[[#This Row],[Total Shipped]]:Table1[[#This Row],[Total Sales]],"&lt;&gt;#N/A")</f>
        <v>0.87</v>
      </c>
      <c r="P723">
        <f>_xlfn.MAXIFS(Table1[[#This Row],[VGChartz Score]:[User Score]],Table1[[#This Row],[VGChartz Score]:[User Score]],"&lt;&gt;#N/A")</f>
        <v>7.4</v>
      </c>
    </row>
    <row r="724" spans="1:16" hidden="1" x14ac:dyDescent="0.2">
      <c r="A724">
        <f t="shared" si="14"/>
        <v>723</v>
      </c>
      <c r="B724">
        <v>23</v>
      </c>
      <c r="C724" t="s">
        <v>138</v>
      </c>
      <c r="D724" t="s">
        <v>1787</v>
      </c>
      <c r="E724" t="s">
        <v>1755</v>
      </c>
      <c r="F724" t="s">
        <v>1</v>
      </c>
      <c r="G724" t="e">
        <v>#N/A</v>
      </c>
      <c r="H724">
        <v>7.2</v>
      </c>
      <c r="I724" t="e">
        <v>#N/A</v>
      </c>
      <c r="J724" s="1" t="e">
        <v>#N/A</v>
      </c>
      <c r="K724" s="1">
        <v>0.86</v>
      </c>
      <c r="L724" t="s">
        <v>1788</v>
      </c>
      <c r="M724" t="s">
        <v>1789</v>
      </c>
      <c r="N724">
        <f>2000+RIGHT(Table1[[#This Row],[Release Date]],2)</f>
        <v>2014</v>
      </c>
      <c r="O724">
        <f>_xlfn.MAXIFS(Table1[[#This Row],[Total Shipped]]:Table1[[#This Row],[Total Sales]],Table1[[#This Row],[Total Shipped]]:Table1[[#This Row],[Total Sales]],"&lt;&gt;#N/A")</f>
        <v>0.86</v>
      </c>
      <c r="P724">
        <f>_xlfn.MAXIFS(Table1[[#This Row],[VGChartz Score]:[User Score]],Table1[[#This Row],[VGChartz Score]:[User Score]],"&lt;&gt;#N/A")</f>
        <v>7.2</v>
      </c>
    </row>
    <row r="725" spans="1:16" hidden="1" x14ac:dyDescent="0.2">
      <c r="A725">
        <f t="shared" si="14"/>
        <v>724</v>
      </c>
      <c r="B725">
        <v>24</v>
      </c>
      <c r="C725" t="s">
        <v>138</v>
      </c>
      <c r="D725" t="s">
        <v>1790</v>
      </c>
      <c r="E725" t="s">
        <v>1755</v>
      </c>
      <c r="F725" t="s">
        <v>1</v>
      </c>
      <c r="G725" t="e">
        <v>#N/A</v>
      </c>
      <c r="H725">
        <v>8.1</v>
      </c>
      <c r="I725" t="e">
        <v>#N/A</v>
      </c>
      <c r="J725" s="2" t="e">
        <v>#N/A</v>
      </c>
      <c r="K725" s="2">
        <v>0.84</v>
      </c>
      <c r="L725" t="s">
        <v>1791</v>
      </c>
      <c r="M725" t="s">
        <v>634</v>
      </c>
      <c r="N725">
        <f>2000+RIGHT(Table1[[#This Row],[Release Date]],2)</f>
        <v>2015</v>
      </c>
      <c r="O725">
        <f>_xlfn.MAXIFS(Table1[[#This Row],[Total Shipped]]:Table1[[#This Row],[Total Sales]],Table1[[#This Row],[Total Shipped]]:Table1[[#This Row],[Total Sales]],"&lt;&gt;#N/A")</f>
        <v>0.84</v>
      </c>
      <c r="P725">
        <f>_xlfn.MAXIFS(Table1[[#This Row],[VGChartz Score]:[User Score]],Table1[[#This Row],[VGChartz Score]:[User Score]],"&lt;&gt;#N/A")</f>
        <v>8.1</v>
      </c>
    </row>
    <row r="726" spans="1:16" hidden="1" x14ac:dyDescent="0.2">
      <c r="A726">
        <f t="shared" si="14"/>
        <v>725</v>
      </c>
      <c r="B726">
        <v>25</v>
      </c>
      <c r="C726" t="s">
        <v>138</v>
      </c>
      <c r="D726" t="s">
        <v>1792</v>
      </c>
      <c r="E726" t="s">
        <v>1755</v>
      </c>
      <c r="F726" t="s">
        <v>151</v>
      </c>
      <c r="G726">
        <v>8.1999999999999993</v>
      </c>
      <c r="H726">
        <v>6.9</v>
      </c>
      <c r="I726" t="e">
        <v>#N/A</v>
      </c>
      <c r="J726" s="1" t="e">
        <v>#N/A</v>
      </c>
      <c r="K726" s="1">
        <v>0.84</v>
      </c>
      <c r="L726" t="s">
        <v>1758</v>
      </c>
      <c r="M726" t="s">
        <v>27</v>
      </c>
      <c r="N726">
        <f>2000+RIGHT(Table1[[#This Row],[Release Date]],2)</f>
        <v>2012</v>
      </c>
      <c r="O726">
        <f>_xlfn.MAXIFS(Table1[[#This Row],[Total Shipped]]:Table1[[#This Row],[Total Sales]],Table1[[#This Row],[Total Shipped]]:Table1[[#This Row],[Total Sales]],"&lt;&gt;#N/A")</f>
        <v>0.84</v>
      </c>
      <c r="P726">
        <f>_xlfn.MAXIFS(Table1[[#This Row],[VGChartz Score]:[User Score]],Table1[[#This Row],[VGChartz Score]:[User Score]],"&lt;&gt;#N/A")</f>
        <v>8.1999999999999993</v>
      </c>
    </row>
    <row r="727" spans="1:16" hidden="1" x14ac:dyDescent="0.2">
      <c r="A727">
        <f t="shared" si="14"/>
        <v>726</v>
      </c>
      <c r="B727">
        <v>26</v>
      </c>
      <c r="C727" t="s">
        <v>138</v>
      </c>
      <c r="D727" t="s">
        <v>1793</v>
      </c>
      <c r="E727" t="s">
        <v>1755</v>
      </c>
      <c r="F727" t="s">
        <v>1</v>
      </c>
      <c r="G727" t="e">
        <v>#N/A</v>
      </c>
      <c r="H727">
        <v>5.9</v>
      </c>
      <c r="I727" t="e">
        <v>#N/A</v>
      </c>
      <c r="J727" s="2" t="e">
        <v>#N/A</v>
      </c>
      <c r="K727" s="2">
        <v>0.8</v>
      </c>
      <c r="L727" t="s">
        <v>413</v>
      </c>
      <c r="M727" t="s">
        <v>1147</v>
      </c>
      <c r="N727">
        <f>2000+RIGHT(Table1[[#This Row],[Release Date]],2)</f>
        <v>2013</v>
      </c>
      <c r="O727">
        <f>_xlfn.MAXIFS(Table1[[#This Row],[Total Shipped]]:Table1[[#This Row],[Total Sales]],Table1[[#This Row],[Total Shipped]]:Table1[[#This Row],[Total Sales]],"&lt;&gt;#N/A")</f>
        <v>0.8</v>
      </c>
      <c r="P727">
        <f>_xlfn.MAXIFS(Table1[[#This Row],[VGChartz Score]:[User Score]],Table1[[#This Row],[VGChartz Score]:[User Score]],"&lt;&gt;#N/A")</f>
        <v>5.9</v>
      </c>
    </row>
    <row r="728" spans="1:16" hidden="1" x14ac:dyDescent="0.2">
      <c r="A728">
        <f t="shared" si="14"/>
        <v>727</v>
      </c>
      <c r="B728">
        <v>27</v>
      </c>
      <c r="C728" t="s">
        <v>138</v>
      </c>
      <c r="D728" t="s">
        <v>1794</v>
      </c>
      <c r="E728" t="s">
        <v>1755</v>
      </c>
      <c r="F728" t="s">
        <v>321</v>
      </c>
      <c r="G728" t="e">
        <v>#N/A</v>
      </c>
      <c r="H728" t="e">
        <v>#N/A</v>
      </c>
      <c r="I728" t="e">
        <v>#N/A</v>
      </c>
      <c r="J728" s="1" t="e">
        <v>#N/A</v>
      </c>
      <c r="K728" s="1">
        <v>0.76</v>
      </c>
      <c r="L728" t="s">
        <v>1228</v>
      </c>
      <c r="M728" t="s">
        <v>1015</v>
      </c>
      <c r="N728">
        <f>2000+RIGHT(Table1[[#This Row],[Release Date]],2)</f>
        <v>2013</v>
      </c>
      <c r="O728">
        <f>_xlfn.MAXIFS(Table1[[#This Row],[Total Shipped]]:Table1[[#This Row],[Total Sales]],Table1[[#This Row],[Total Shipped]]:Table1[[#This Row],[Total Sales]],"&lt;&gt;#N/A")</f>
        <v>0.76</v>
      </c>
      <c r="P728">
        <f>_xlfn.MAXIFS(Table1[[#This Row],[VGChartz Score]:[User Score]],Table1[[#This Row],[VGChartz Score]:[User Score]],"&lt;&gt;#N/A")</f>
        <v>0</v>
      </c>
    </row>
    <row r="729" spans="1:16" hidden="1" x14ac:dyDescent="0.2">
      <c r="A729">
        <f t="shared" si="14"/>
        <v>728</v>
      </c>
      <c r="B729">
        <v>28</v>
      </c>
      <c r="C729" t="s">
        <v>138</v>
      </c>
      <c r="D729" t="s">
        <v>1795</v>
      </c>
      <c r="E729" t="s">
        <v>1755</v>
      </c>
      <c r="F729" t="s">
        <v>233</v>
      </c>
      <c r="G729" t="e">
        <v>#N/A</v>
      </c>
      <c r="H729" t="e">
        <v>#N/A</v>
      </c>
      <c r="I729" t="e">
        <v>#N/A</v>
      </c>
      <c r="J729" s="2" t="e">
        <v>#N/A</v>
      </c>
      <c r="K729" s="2">
        <v>0.75</v>
      </c>
      <c r="L729" t="s">
        <v>1796</v>
      </c>
      <c r="M729" t="s">
        <v>1797</v>
      </c>
      <c r="N729">
        <f>2000+RIGHT(Table1[[#This Row],[Release Date]],2)</f>
        <v>2014</v>
      </c>
      <c r="O729">
        <f>_xlfn.MAXIFS(Table1[[#This Row],[Total Shipped]]:Table1[[#This Row],[Total Sales]],Table1[[#This Row],[Total Shipped]]:Table1[[#This Row],[Total Sales]],"&lt;&gt;#N/A")</f>
        <v>0.75</v>
      </c>
      <c r="P729">
        <f>_xlfn.MAXIFS(Table1[[#This Row],[VGChartz Score]:[User Score]],Table1[[#This Row],[VGChartz Score]:[User Score]],"&lt;&gt;#N/A")</f>
        <v>0</v>
      </c>
    </row>
    <row r="730" spans="1:16" hidden="1" x14ac:dyDescent="0.2">
      <c r="A730">
        <f t="shared" si="14"/>
        <v>729</v>
      </c>
      <c r="B730">
        <v>29</v>
      </c>
      <c r="C730" t="s">
        <v>138</v>
      </c>
      <c r="D730" t="s">
        <v>1798</v>
      </c>
      <c r="E730" t="s">
        <v>1755</v>
      </c>
      <c r="F730" t="s">
        <v>151</v>
      </c>
      <c r="G730" t="e">
        <v>#N/A</v>
      </c>
      <c r="H730" t="e">
        <v>#N/A</v>
      </c>
      <c r="I730" t="e">
        <v>#N/A</v>
      </c>
      <c r="J730" s="1" t="e">
        <v>#N/A</v>
      </c>
      <c r="K730" s="1">
        <v>0.75</v>
      </c>
      <c r="L730" t="s">
        <v>1799</v>
      </c>
      <c r="M730" t="s">
        <v>377</v>
      </c>
      <c r="N730">
        <f>2000+RIGHT(Table1[[#This Row],[Release Date]],2)</f>
        <v>2014</v>
      </c>
      <c r="O730">
        <f>_xlfn.MAXIFS(Table1[[#This Row],[Total Shipped]]:Table1[[#This Row],[Total Sales]],Table1[[#This Row],[Total Shipped]]:Table1[[#This Row],[Total Sales]],"&lt;&gt;#N/A")</f>
        <v>0.75</v>
      </c>
      <c r="P730">
        <f>_xlfn.MAXIFS(Table1[[#This Row],[VGChartz Score]:[User Score]],Table1[[#This Row],[VGChartz Score]:[User Score]],"&lt;&gt;#N/A")</f>
        <v>0</v>
      </c>
    </row>
    <row r="731" spans="1:16" hidden="1" x14ac:dyDescent="0.2">
      <c r="A731">
        <f t="shared" si="14"/>
        <v>730</v>
      </c>
      <c r="B731">
        <v>30</v>
      </c>
      <c r="C731" t="s">
        <v>138</v>
      </c>
      <c r="D731" t="s">
        <v>1800</v>
      </c>
      <c r="E731" t="s">
        <v>1755</v>
      </c>
      <c r="F731" t="s">
        <v>69</v>
      </c>
      <c r="G731" t="e">
        <v>#N/A</v>
      </c>
      <c r="H731">
        <v>8.6999999999999993</v>
      </c>
      <c r="I731" t="e">
        <v>#N/A</v>
      </c>
      <c r="J731" s="2" t="e">
        <v>#N/A</v>
      </c>
      <c r="K731" s="2">
        <v>0.71</v>
      </c>
      <c r="L731" t="s">
        <v>1163</v>
      </c>
      <c r="M731" t="s">
        <v>1797</v>
      </c>
      <c r="N731">
        <f>2000+RIGHT(Table1[[#This Row],[Release Date]],2)</f>
        <v>2013</v>
      </c>
      <c r="O731">
        <f>_xlfn.MAXIFS(Table1[[#This Row],[Total Shipped]]:Table1[[#This Row],[Total Sales]],Table1[[#This Row],[Total Shipped]]:Table1[[#This Row],[Total Sales]],"&lt;&gt;#N/A")</f>
        <v>0.71</v>
      </c>
      <c r="P731">
        <f>_xlfn.MAXIFS(Table1[[#This Row],[VGChartz Score]:[User Score]],Table1[[#This Row],[VGChartz Score]:[User Score]],"&lt;&gt;#N/A")</f>
        <v>8.6999999999999993</v>
      </c>
    </row>
    <row r="732" spans="1:16" hidden="1" x14ac:dyDescent="0.2">
      <c r="A732">
        <f t="shared" si="14"/>
        <v>731</v>
      </c>
      <c r="B732">
        <v>31</v>
      </c>
      <c r="C732" t="s">
        <v>138</v>
      </c>
      <c r="D732" t="s">
        <v>1801</v>
      </c>
      <c r="E732" t="s">
        <v>1755</v>
      </c>
      <c r="F732" t="s">
        <v>979</v>
      </c>
      <c r="G732" t="e">
        <v>#N/A</v>
      </c>
      <c r="H732" t="e">
        <v>#N/A</v>
      </c>
      <c r="I732" t="e">
        <v>#N/A</v>
      </c>
      <c r="J732" s="1" t="e">
        <v>#N/A</v>
      </c>
      <c r="K732" s="1">
        <v>0.7</v>
      </c>
      <c r="L732" t="s">
        <v>365</v>
      </c>
      <c r="M732" t="s">
        <v>429</v>
      </c>
      <c r="N732">
        <f>2000+RIGHT(Table1[[#This Row],[Release Date]],2)</f>
        <v>2014</v>
      </c>
      <c r="O732">
        <f>_xlfn.MAXIFS(Table1[[#This Row],[Total Shipped]]:Table1[[#This Row],[Total Sales]],Table1[[#This Row],[Total Shipped]]:Table1[[#This Row],[Total Sales]],"&lt;&gt;#N/A")</f>
        <v>0.7</v>
      </c>
      <c r="P732">
        <f>_xlfn.MAXIFS(Table1[[#This Row],[VGChartz Score]:[User Score]],Table1[[#This Row],[VGChartz Score]:[User Score]],"&lt;&gt;#N/A")</f>
        <v>0</v>
      </c>
    </row>
    <row r="733" spans="1:16" hidden="1" x14ac:dyDescent="0.2">
      <c r="A733">
        <f t="shared" si="14"/>
        <v>732</v>
      </c>
      <c r="B733">
        <v>32</v>
      </c>
      <c r="C733" t="s">
        <v>138</v>
      </c>
      <c r="D733" t="s">
        <v>1802</v>
      </c>
      <c r="E733" t="s">
        <v>1755</v>
      </c>
      <c r="F733" t="s">
        <v>151</v>
      </c>
      <c r="G733">
        <v>9.4</v>
      </c>
      <c r="H733">
        <v>9.5</v>
      </c>
      <c r="I733" t="e">
        <v>#N/A</v>
      </c>
      <c r="J733" s="2" t="e">
        <v>#N/A</v>
      </c>
      <c r="K733" s="2">
        <v>0.68</v>
      </c>
      <c r="L733" t="s">
        <v>1803</v>
      </c>
      <c r="M733" t="s">
        <v>1246</v>
      </c>
      <c r="N733">
        <f>2000+RIGHT(Table1[[#This Row],[Release Date]],2)</f>
        <v>2013</v>
      </c>
      <c r="O733">
        <f>_xlfn.MAXIFS(Table1[[#This Row],[Total Shipped]]:Table1[[#This Row],[Total Sales]],Table1[[#This Row],[Total Shipped]]:Table1[[#This Row],[Total Sales]],"&lt;&gt;#N/A")</f>
        <v>0.68</v>
      </c>
      <c r="P733">
        <f>_xlfn.MAXIFS(Table1[[#This Row],[VGChartz Score]:[User Score]],Table1[[#This Row],[VGChartz Score]:[User Score]],"&lt;&gt;#N/A")</f>
        <v>9.5</v>
      </c>
    </row>
    <row r="734" spans="1:16" hidden="1" x14ac:dyDescent="0.2">
      <c r="A734">
        <f t="shared" si="14"/>
        <v>733</v>
      </c>
      <c r="B734">
        <v>33</v>
      </c>
      <c r="C734" t="s">
        <v>138</v>
      </c>
      <c r="D734" t="s">
        <v>1804</v>
      </c>
      <c r="E734" t="s">
        <v>1755</v>
      </c>
      <c r="F734" t="s">
        <v>979</v>
      </c>
      <c r="G734" t="e">
        <v>#N/A</v>
      </c>
      <c r="H734">
        <v>7.6</v>
      </c>
      <c r="I734" t="e">
        <v>#N/A</v>
      </c>
      <c r="J734" s="1" t="e">
        <v>#N/A</v>
      </c>
      <c r="K734" s="1">
        <v>0.67</v>
      </c>
      <c r="L734" t="s">
        <v>1805</v>
      </c>
      <c r="M734" t="s">
        <v>429</v>
      </c>
      <c r="N734">
        <f>2000+RIGHT(Table1[[#This Row],[Release Date]],2)</f>
        <v>2013</v>
      </c>
      <c r="O734">
        <f>_xlfn.MAXIFS(Table1[[#This Row],[Total Shipped]]:Table1[[#This Row],[Total Sales]],Table1[[#This Row],[Total Shipped]]:Table1[[#This Row],[Total Sales]],"&lt;&gt;#N/A")</f>
        <v>0.67</v>
      </c>
      <c r="P734">
        <f>_xlfn.MAXIFS(Table1[[#This Row],[VGChartz Score]:[User Score]],Table1[[#This Row],[VGChartz Score]:[User Score]],"&lt;&gt;#N/A")</f>
        <v>7.6</v>
      </c>
    </row>
    <row r="735" spans="1:16" hidden="1" x14ac:dyDescent="0.2">
      <c r="A735">
        <f t="shared" si="14"/>
        <v>734</v>
      </c>
      <c r="B735">
        <v>34</v>
      </c>
      <c r="C735" t="s">
        <v>138</v>
      </c>
      <c r="D735" t="s">
        <v>1257</v>
      </c>
      <c r="E735" t="s">
        <v>1755</v>
      </c>
      <c r="F735" t="s">
        <v>321</v>
      </c>
      <c r="G735" t="e">
        <v>#N/A</v>
      </c>
      <c r="H735" t="e">
        <v>#N/A</v>
      </c>
      <c r="I735" t="e">
        <v>#N/A</v>
      </c>
      <c r="J735" s="2" t="e">
        <v>#N/A</v>
      </c>
      <c r="K735" s="2">
        <v>0.66</v>
      </c>
      <c r="L735" t="s">
        <v>1151</v>
      </c>
      <c r="M735" t="s">
        <v>1258</v>
      </c>
      <c r="N735">
        <f>2000+RIGHT(Table1[[#This Row],[Release Date]],2)</f>
        <v>2014</v>
      </c>
      <c r="O735">
        <f>_xlfn.MAXIFS(Table1[[#This Row],[Total Shipped]]:Table1[[#This Row],[Total Sales]],Table1[[#This Row],[Total Shipped]]:Table1[[#This Row],[Total Sales]],"&lt;&gt;#N/A")</f>
        <v>0.66</v>
      </c>
      <c r="P735">
        <f>_xlfn.MAXIFS(Table1[[#This Row],[VGChartz Score]:[User Score]],Table1[[#This Row],[VGChartz Score]:[User Score]],"&lt;&gt;#N/A")</f>
        <v>0</v>
      </c>
    </row>
    <row r="736" spans="1:16" hidden="1" x14ac:dyDescent="0.2">
      <c r="A736">
        <f t="shared" si="14"/>
        <v>735</v>
      </c>
      <c r="B736">
        <v>35</v>
      </c>
      <c r="C736" t="s">
        <v>138</v>
      </c>
      <c r="D736" t="s">
        <v>1806</v>
      </c>
      <c r="E736" t="s">
        <v>1755</v>
      </c>
      <c r="F736" t="s">
        <v>321</v>
      </c>
      <c r="G736" t="e">
        <v>#N/A</v>
      </c>
      <c r="H736" t="e">
        <v>#N/A</v>
      </c>
      <c r="I736" t="e">
        <v>#N/A</v>
      </c>
      <c r="J736" s="1" t="e">
        <v>#N/A</v>
      </c>
      <c r="K736" s="1">
        <v>0.65</v>
      </c>
      <c r="L736" t="s">
        <v>1807</v>
      </c>
      <c r="M736" t="s">
        <v>1317</v>
      </c>
      <c r="N736">
        <f>2000+RIGHT(Table1[[#This Row],[Release Date]],2)</f>
        <v>2015</v>
      </c>
      <c r="O736">
        <f>_xlfn.MAXIFS(Table1[[#This Row],[Total Shipped]]:Table1[[#This Row],[Total Sales]],Table1[[#This Row],[Total Shipped]]:Table1[[#This Row],[Total Sales]],"&lt;&gt;#N/A")</f>
        <v>0.65</v>
      </c>
      <c r="P736">
        <f>_xlfn.MAXIFS(Table1[[#This Row],[VGChartz Score]:[User Score]],Table1[[#This Row],[VGChartz Score]:[User Score]],"&lt;&gt;#N/A")</f>
        <v>0</v>
      </c>
    </row>
    <row r="737" spans="1:16" hidden="1" x14ac:dyDescent="0.2">
      <c r="A737">
        <f t="shared" si="14"/>
        <v>736</v>
      </c>
      <c r="B737">
        <v>36</v>
      </c>
      <c r="C737" t="s">
        <v>138</v>
      </c>
      <c r="D737" t="s">
        <v>1808</v>
      </c>
      <c r="E737" t="s">
        <v>1755</v>
      </c>
      <c r="F737" t="s">
        <v>151</v>
      </c>
      <c r="G737" t="e">
        <v>#N/A</v>
      </c>
      <c r="H737">
        <v>7.5</v>
      </c>
      <c r="I737" t="e">
        <v>#N/A</v>
      </c>
      <c r="J737" s="2" t="e">
        <v>#N/A</v>
      </c>
      <c r="K737" s="2">
        <v>0.64</v>
      </c>
      <c r="L737" t="s">
        <v>1809</v>
      </c>
      <c r="M737" t="s">
        <v>1810</v>
      </c>
      <c r="N737">
        <f>2000+RIGHT(Table1[[#This Row],[Release Date]],2)</f>
        <v>2013</v>
      </c>
      <c r="O737">
        <f>_xlfn.MAXIFS(Table1[[#This Row],[Total Shipped]]:Table1[[#This Row],[Total Sales]],Table1[[#This Row],[Total Shipped]]:Table1[[#This Row],[Total Sales]],"&lt;&gt;#N/A")</f>
        <v>0.64</v>
      </c>
      <c r="P737">
        <f>_xlfn.MAXIFS(Table1[[#This Row],[VGChartz Score]:[User Score]],Table1[[#This Row],[VGChartz Score]:[User Score]],"&lt;&gt;#N/A")</f>
        <v>7.5</v>
      </c>
    </row>
    <row r="738" spans="1:16" hidden="1" x14ac:dyDescent="0.2">
      <c r="A738">
        <f t="shared" si="14"/>
        <v>737</v>
      </c>
      <c r="B738">
        <v>37</v>
      </c>
      <c r="C738" t="s">
        <v>138</v>
      </c>
      <c r="D738" t="s">
        <v>1811</v>
      </c>
      <c r="E738" t="s">
        <v>1755</v>
      </c>
      <c r="F738" t="s">
        <v>233</v>
      </c>
      <c r="G738" t="e">
        <v>#N/A</v>
      </c>
      <c r="H738" t="e">
        <v>#N/A</v>
      </c>
      <c r="I738" t="e">
        <v>#N/A</v>
      </c>
      <c r="J738" s="1" t="e">
        <v>#N/A</v>
      </c>
      <c r="K738" s="1">
        <v>0.61</v>
      </c>
      <c r="L738" t="s">
        <v>1812</v>
      </c>
      <c r="M738" t="s">
        <v>1258</v>
      </c>
      <c r="N738">
        <f>2000+RIGHT(Table1[[#This Row],[Release Date]],2)</f>
        <v>2013</v>
      </c>
      <c r="O738">
        <f>_xlfn.MAXIFS(Table1[[#This Row],[Total Shipped]]:Table1[[#This Row],[Total Sales]],Table1[[#This Row],[Total Shipped]]:Table1[[#This Row],[Total Sales]],"&lt;&gt;#N/A")</f>
        <v>0.61</v>
      </c>
      <c r="P738">
        <f>_xlfn.MAXIFS(Table1[[#This Row],[VGChartz Score]:[User Score]],Table1[[#This Row],[VGChartz Score]:[User Score]],"&lt;&gt;#N/A")</f>
        <v>0</v>
      </c>
    </row>
    <row r="739" spans="1:16" hidden="1" x14ac:dyDescent="0.2">
      <c r="A739">
        <f t="shared" si="14"/>
        <v>738</v>
      </c>
      <c r="B739">
        <v>38</v>
      </c>
      <c r="C739" t="s">
        <v>138</v>
      </c>
      <c r="D739" t="s">
        <v>1813</v>
      </c>
      <c r="E739" t="s">
        <v>1755</v>
      </c>
      <c r="F739" t="s">
        <v>151</v>
      </c>
      <c r="G739" t="e">
        <v>#N/A</v>
      </c>
      <c r="H739" t="e">
        <v>#N/A</v>
      </c>
      <c r="I739" t="e">
        <v>#N/A</v>
      </c>
      <c r="J739" s="2" t="e">
        <v>#N/A</v>
      </c>
      <c r="K739" s="2">
        <v>0.6</v>
      </c>
      <c r="L739" t="s">
        <v>1814</v>
      </c>
      <c r="M739" t="s">
        <v>1261</v>
      </c>
      <c r="N739">
        <f>2000+RIGHT(Table1[[#This Row],[Release Date]],2)</f>
        <v>2015</v>
      </c>
      <c r="O739">
        <f>_xlfn.MAXIFS(Table1[[#This Row],[Total Shipped]]:Table1[[#This Row],[Total Sales]],Table1[[#This Row],[Total Shipped]]:Table1[[#This Row],[Total Sales]],"&lt;&gt;#N/A")</f>
        <v>0.6</v>
      </c>
      <c r="P739">
        <f>_xlfn.MAXIFS(Table1[[#This Row],[VGChartz Score]:[User Score]],Table1[[#This Row],[VGChartz Score]:[User Score]],"&lt;&gt;#N/A")</f>
        <v>0</v>
      </c>
    </row>
    <row r="740" spans="1:16" hidden="1" x14ac:dyDescent="0.2">
      <c r="A740">
        <f t="shared" si="14"/>
        <v>739</v>
      </c>
      <c r="B740">
        <v>39</v>
      </c>
      <c r="C740" t="s">
        <v>138</v>
      </c>
      <c r="D740" t="s">
        <v>1815</v>
      </c>
      <c r="E740" t="s">
        <v>1755</v>
      </c>
      <c r="F740" t="s">
        <v>233</v>
      </c>
      <c r="G740" t="e">
        <v>#N/A</v>
      </c>
      <c r="H740">
        <v>8</v>
      </c>
      <c r="I740" t="e">
        <v>#N/A</v>
      </c>
      <c r="J740" s="1" t="e">
        <v>#N/A</v>
      </c>
      <c r="K740" s="1">
        <v>0.59</v>
      </c>
      <c r="L740" t="s">
        <v>1816</v>
      </c>
      <c r="M740" t="s">
        <v>550</v>
      </c>
      <c r="N740">
        <f>2000+RIGHT(Table1[[#This Row],[Release Date]],2)</f>
        <v>2015</v>
      </c>
      <c r="O740">
        <f>_xlfn.MAXIFS(Table1[[#This Row],[Total Shipped]]:Table1[[#This Row],[Total Sales]],Table1[[#This Row],[Total Shipped]]:Table1[[#This Row],[Total Sales]],"&lt;&gt;#N/A")</f>
        <v>0.59</v>
      </c>
      <c r="P740">
        <f>_xlfn.MAXIFS(Table1[[#This Row],[VGChartz Score]:[User Score]],Table1[[#This Row],[VGChartz Score]:[User Score]],"&lt;&gt;#N/A")</f>
        <v>8</v>
      </c>
    </row>
    <row r="741" spans="1:16" hidden="1" x14ac:dyDescent="0.2">
      <c r="A741">
        <f t="shared" si="14"/>
        <v>740</v>
      </c>
      <c r="B741">
        <v>40</v>
      </c>
      <c r="C741" t="s">
        <v>138</v>
      </c>
      <c r="D741" t="s">
        <v>1817</v>
      </c>
      <c r="E741" t="s">
        <v>1755</v>
      </c>
      <c r="F741" t="s">
        <v>1</v>
      </c>
      <c r="G741" t="e">
        <v>#N/A</v>
      </c>
      <c r="H741">
        <v>8.1999999999999993</v>
      </c>
      <c r="I741" t="e">
        <v>#N/A</v>
      </c>
      <c r="J741" s="2" t="e">
        <v>#N/A</v>
      </c>
      <c r="K741" s="2">
        <v>0.57999999999999996</v>
      </c>
      <c r="L741" t="s">
        <v>1818</v>
      </c>
      <c r="M741" t="s">
        <v>1258</v>
      </c>
      <c r="N741">
        <f>2000+RIGHT(Table1[[#This Row],[Release Date]],2)</f>
        <v>2015</v>
      </c>
      <c r="O741">
        <f>_xlfn.MAXIFS(Table1[[#This Row],[Total Shipped]]:Table1[[#This Row],[Total Sales]],Table1[[#This Row],[Total Shipped]]:Table1[[#This Row],[Total Sales]],"&lt;&gt;#N/A")</f>
        <v>0.57999999999999996</v>
      </c>
      <c r="P741">
        <f>_xlfn.MAXIFS(Table1[[#This Row],[VGChartz Score]:[User Score]],Table1[[#This Row],[VGChartz Score]:[User Score]],"&lt;&gt;#N/A")</f>
        <v>8.1999999999999993</v>
      </c>
    </row>
    <row r="742" spans="1:16" hidden="1" x14ac:dyDescent="0.2">
      <c r="A742">
        <f t="shared" si="14"/>
        <v>741</v>
      </c>
      <c r="B742">
        <v>41</v>
      </c>
      <c r="C742" t="s">
        <v>138</v>
      </c>
      <c r="D742" t="s">
        <v>1247</v>
      </c>
      <c r="E742" t="s">
        <v>1755</v>
      </c>
      <c r="F742" t="s">
        <v>321</v>
      </c>
      <c r="G742" t="e">
        <v>#N/A</v>
      </c>
      <c r="H742" t="e">
        <v>#N/A</v>
      </c>
      <c r="I742" t="e">
        <v>#N/A</v>
      </c>
      <c r="J742" s="1" t="e">
        <v>#N/A</v>
      </c>
      <c r="K742" s="1">
        <v>0.56999999999999995</v>
      </c>
      <c r="L742" t="s">
        <v>1248</v>
      </c>
      <c r="M742" t="s">
        <v>550</v>
      </c>
      <c r="N742">
        <f>2000+RIGHT(Table1[[#This Row],[Release Date]],2)</f>
        <v>2015</v>
      </c>
      <c r="O742">
        <f>_xlfn.MAXIFS(Table1[[#This Row],[Total Shipped]]:Table1[[#This Row],[Total Sales]],Table1[[#This Row],[Total Shipped]]:Table1[[#This Row],[Total Sales]],"&lt;&gt;#N/A")</f>
        <v>0.56999999999999995</v>
      </c>
      <c r="P742">
        <f>_xlfn.MAXIFS(Table1[[#This Row],[VGChartz Score]:[User Score]],Table1[[#This Row],[VGChartz Score]:[User Score]],"&lt;&gt;#N/A")</f>
        <v>0</v>
      </c>
    </row>
    <row r="743" spans="1:16" hidden="1" x14ac:dyDescent="0.2">
      <c r="A743">
        <f t="shared" si="14"/>
        <v>742</v>
      </c>
      <c r="B743">
        <v>42</v>
      </c>
      <c r="C743" t="s">
        <v>138</v>
      </c>
      <c r="D743" t="s">
        <v>1819</v>
      </c>
      <c r="E743" t="s">
        <v>1755</v>
      </c>
      <c r="F743" t="s">
        <v>979</v>
      </c>
      <c r="G743" t="e">
        <v>#N/A</v>
      </c>
      <c r="H743" t="e">
        <v>#N/A</v>
      </c>
      <c r="I743" t="e">
        <v>#N/A</v>
      </c>
      <c r="J743" s="2" t="e">
        <v>#N/A</v>
      </c>
      <c r="K743" s="2">
        <v>0.55000000000000004</v>
      </c>
      <c r="L743" t="s">
        <v>1820</v>
      </c>
      <c r="M743" t="s">
        <v>1258</v>
      </c>
      <c r="N743">
        <f>2000+RIGHT(Table1[[#This Row],[Release Date]],2)</f>
        <v>2015</v>
      </c>
      <c r="O743">
        <f>_xlfn.MAXIFS(Table1[[#This Row],[Total Shipped]]:Table1[[#This Row],[Total Sales]],Table1[[#This Row],[Total Shipped]]:Table1[[#This Row],[Total Sales]],"&lt;&gt;#N/A")</f>
        <v>0.55000000000000004</v>
      </c>
      <c r="P743">
        <f>_xlfn.MAXIFS(Table1[[#This Row],[VGChartz Score]:[User Score]],Table1[[#This Row],[VGChartz Score]:[User Score]],"&lt;&gt;#N/A")</f>
        <v>0</v>
      </c>
    </row>
    <row r="744" spans="1:16" hidden="1" x14ac:dyDescent="0.2">
      <c r="A744">
        <f t="shared" si="14"/>
        <v>743</v>
      </c>
      <c r="B744">
        <v>43</v>
      </c>
      <c r="C744" t="s">
        <v>138</v>
      </c>
      <c r="D744" t="s">
        <v>1821</v>
      </c>
      <c r="E744" t="s">
        <v>1755</v>
      </c>
      <c r="F744" t="s">
        <v>1</v>
      </c>
      <c r="G744" t="e">
        <v>#N/A</v>
      </c>
      <c r="H744">
        <v>6.1</v>
      </c>
      <c r="I744" t="e">
        <v>#N/A</v>
      </c>
      <c r="J744" s="1" t="e">
        <v>#N/A</v>
      </c>
      <c r="K744" s="1">
        <v>0.54</v>
      </c>
      <c r="L744" t="s">
        <v>1184</v>
      </c>
      <c r="M744" t="s">
        <v>414</v>
      </c>
      <c r="N744">
        <f>2000+RIGHT(Table1[[#This Row],[Release Date]],2)</f>
        <v>2015</v>
      </c>
      <c r="O744">
        <f>_xlfn.MAXIFS(Table1[[#This Row],[Total Shipped]]:Table1[[#This Row],[Total Sales]],Table1[[#This Row],[Total Shipped]]:Table1[[#This Row],[Total Sales]],"&lt;&gt;#N/A")</f>
        <v>0.54</v>
      </c>
      <c r="P744">
        <f>_xlfn.MAXIFS(Table1[[#This Row],[VGChartz Score]:[User Score]],Table1[[#This Row],[VGChartz Score]:[User Score]],"&lt;&gt;#N/A")</f>
        <v>6.1</v>
      </c>
    </row>
    <row r="745" spans="1:16" hidden="1" x14ac:dyDescent="0.2">
      <c r="A745">
        <f t="shared" si="14"/>
        <v>744</v>
      </c>
      <c r="B745">
        <v>44</v>
      </c>
      <c r="C745" t="s">
        <v>138</v>
      </c>
      <c r="D745" t="s">
        <v>1822</v>
      </c>
      <c r="E745" t="s">
        <v>1755</v>
      </c>
      <c r="F745" t="s">
        <v>240</v>
      </c>
      <c r="G745">
        <v>7.5</v>
      </c>
      <c r="H745">
        <v>6.9</v>
      </c>
      <c r="I745" t="e">
        <v>#N/A</v>
      </c>
      <c r="J745" s="2" t="e">
        <v>#N/A</v>
      </c>
      <c r="K745" s="2">
        <v>0.53</v>
      </c>
      <c r="L745" t="s">
        <v>1758</v>
      </c>
      <c r="M745" t="s">
        <v>1823</v>
      </c>
      <c r="N745">
        <f>2000+RIGHT(Table1[[#This Row],[Release Date]],2)</f>
        <v>2012</v>
      </c>
      <c r="O745">
        <f>_xlfn.MAXIFS(Table1[[#This Row],[Total Shipped]]:Table1[[#This Row],[Total Sales]],Table1[[#This Row],[Total Shipped]]:Table1[[#This Row],[Total Sales]],"&lt;&gt;#N/A")</f>
        <v>0.53</v>
      </c>
      <c r="P745">
        <f>_xlfn.MAXIFS(Table1[[#This Row],[VGChartz Score]:[User Score]],Table1[[#This Row],[VGChartz Score]:[User Score]],"&lt;&gt;#N/A")</f>
        <v>7.5</v>
      </c>
    </row>
    <row r="746" spans="1:16" hidden="1" x14ac:dyDescent="0.2">
      <c r="A746">
        <f t="shared" si="14"/>
        <v>745</v>
      </c>
      <c r="B746">
        <v>45</v>
      </c>
      <c r="C746" t="s">
        <v>138</v>
      </c>
      <c r="D746" t="s">
        <v>548</v>
      </c>
      <c r="E746" t="s">
        <v>1755</v>
      </c>
      <c r="F746" t="s">
        <v>244</v>
      </c>
      <c r="G746" t="e">
        <v>#N/A</v>
      </c>
      <c r="H746">
        <v>7</v>
      </c>
      <c r="I746" t="e">
        <v>#N/A</v>
      </c>
      <c r="J746" s="1" t="e">
        <v>#N/A</v>
      </c>
      <c r="K746" s="1">
        <v>0.49</v>
      </c>
      <c r="L746" t="s">
        <v>1758</v>
      </c>
      <c r="M746" t="s">
        <v>550</v>
      </c>
      <c r="N746">
        <f>2000+RIGHT(Table1[[#This Row],[Release Date]],2)</f>
        <v>2012</v>
      </c>
      <c r="O746">
        <f>_xlfn.MAXIFS(Table1[[#This Row],[Total Shipped]]:Table1[[#This Row],[Total Sales]],Table1[[#This Row],[Total Shipped]]:Table1[[#This Row],[Total Sales]],"&lt;&gt;#N/A")</f>
        <v>0.49</v>
      </c>
      <c r="P746">
        <f>_xlfn.MAXIFS(Table1[[#This Row],[VGChartz Score]:[User Score]],Table1[[#This Row],[VGChartz Score]:[User Score]],"&lt;&gt;#N/A")</f>
        <v>7</v>
      </c>
    </row>
    <row r="747" spans="1:16" hidden="1" x14ac:dyDescent="0.2">
      <c r="A747">
        <f t="shared" si="14"/>
        <v>746</v>
      </c>
      <c r="B747">
        <v>46</v>
      </c>
      <c r="C747" t="s">
        <v>138</v>
      </c>
      <c r="D747" t="s">
        <v>1824</v>
      </c>
      <c r="E747" t="s">
        <v>1755</v>
      </c>
      <c r="F747" t="s">
        <v>1</v>
      </c>
      <c r="G747" t="e">
        <v>#N/A</v>
      </c>
      <c r="H747">
        <v>4.8</v>
      </c>
      <c r="I747" t="e">
        <v>#N/A</v>
      </c>
      <c r="J747" s="2" t="e">
        <v>#N/A</v>
      </c>
      <c r="K747" s="2">
        <v>0.49</v>
      </c>
      <c r="L747" t="s">
        <v>1825</v>
      </c>
      <c r="M747" t="s">
        <v>1353</v>
      </c>
      <c r="N747">
        <f>2000+RIGHT(Table1[[#This Row],[Release Date]],2)</f>
        <v>2015</v>
      </c>
      <c r="O747">
        <f>_xlfn.MAXIFS(Table1[[#This Row],[Total Shipped]]:Table1[[#This Row],[Total Sales]],Table1[[#This Row],[Total Shipped]]:Table1[[#This Row],[Total Sales]],"&lt;&gt;#N/A")</f>
        <v>0.49</v>
      </c>
      <c r="P747">
        <f>_xlfn.MAXIFS(Table1[[#This Row],[VGChartz Score]:[User Score]],Table1[[#This Row],[VGChartz Score]:[User Score]],"&lt;&gt;#N/A")</f>
        <v>4.8</v>
      </c>
    </row>
    <row r="748" spans="1:16" hidden="1" x14ac:dyDescent="0.2">
      <c r="A748">
        <f t="shared" si="14"/>
        <v>747</v>
      </c>
      <c r="B748">
        <v>47</v>
      </c>
      <c r="C748" t="s">
        <v>138</v>
      </c>
      <c r="D748" t="s">
        <v>1259</v>
      </c>
      <c r="E748" t="s">
        <v>1755</v>
      </c>
      <c r="F748" t="s">
        <v>1</v>
      </c>
      <c r="G748" t="e">
        <v>#N/A</v>
      </c>
      <c r="H748" t="e">
        <v>#N/A</v>
      </c>
      <c r="I748" t="e">
        <v>#N/A</v>
      </c>
      <c r="J748" s="1" t="e">
        <v>#N/A</v>
      </c>
      <c r="K748" s="1">
        <v>0.49</v>
      </c>
      <c r="L748" t="s">
        <v>1826</v>
      </c>
      <c r="M748" t="s">
        <v>1261</v>
      </c>
      <c r="N748">
        <f>2000+RIGHT(Table1[[#This Row],[Release Date]],2)</f>
        <v>2016</v>
      </c>
      <c r="O748">
        <f>_xlfn.MAXIFS(Table1[[#This Row],[Total Shipped]]:Table1[[#This Row],[Total Sales]],Table1[[#This Row],[Total Shipped]]:Table1[[#This Row],[Total Sales]],"&lt;&gt;#N/A")</f>
        <v>0.49</v>
      </c>
      <c r="P748">
        <f>_xlfn.MAXIFS(Table1[[#This Row],[VGChartz Score]:[User Score]],Table1[[#This Row],[VGChartz Score]:[User Score]],"&lt;&gt;#N/A")</f>
        <v>0</v>
      </c>
    </row>
    <row r="749" spans="1:16" hidden="1" x14ac:dyDescent="0.2">
      <c r="A749">
        <f t="shared" si="14"/>
        <v>748</v>
      </c>
      <c r="B749">
        <v>48</v>
      </c>
      <c r="C749" t="s">
        <v>138</v>
      </c>
      <c r="D749" t="s">
        <v>1827</v>
      </c>
      <c r="E749" t="s">
        <v>1755</v>
      </c>
      <c r="F749" t="s">
        <v>321</v>
      </c>
      <c r="G749" t="e">
        <v>#N/A</v>
      </c>
      <c r="H749">
        <v>7.4</v>
      </c>
      <c r="I749" t="e">
        <v>#N/A</v>
      </c>
      <c r="J749" s="2" t="e">
        <v>#N/A</v>
      </c>
      <c r="K749" s="2">
        <v>0.45</v>
      </c>
      <c r="L749" t="s">
        <v>416</v>
      </c>
      <c r="M749" t="s">
        <v>1015</v>
      </c>
      <c r="N749">
        <f>2000+RIGHT(Table1[[#This Row],[Release Date]],2)</f>
        <v>2014</v>
      </c>
      <c r="O749">
        <f>_xlfn.MAXIFS(Table1[[#This Row],[Total Shipped]]:Table1[[#This Row],[Total Sales]],Table1[[#This Row],[Total Shipped]]:Table1[[#This Row],[Total Sales]],"&lt;&gt;#N/A")</f>
        <v>0.45</v>
      </c>
      <c r="P749">
        <f>_xlfn.MAXIFS(Table1[[#This Row],[VGChartz Score]:[User Score]],Table1[[#This Row],[VGChartz Score]:[User Score]],"&lt;&gt;#N/A")</f>
        <v>7.4</v>
      </c>
    </row>
    <row r="750" spans="1:16" hidden="1" x14ac:dyDescent="0.2">
      <c r="A750">
        <f t="shared" si="14"/>
        <v>749</v>
      </c>
      <c r="B750">
        <v>49</v>
      </c>
      <c r="C750" t="s">
        <v>138</v>
      </c>
      <c r="D750" t="s">
        <v>1828</v>
      </c>
      <c r="E750" t="s">
        <v>1755</v>
      </c>
      <c r="F750" t="s">
        <v>233</v>
      </c>
      <c r="G750" t="e">
        <v>#N/A</v>
      </c>
      <c r="H750" t="e">
        <v>#N/A</v>
      </c>
      <c r="I750" t="e">
        <v>#N/A</v>
      </c>
      <c r="J750" s="1" t="e">
        <v>#N/A</v>
      </c>
      <c r="K750" s="1">
        <v>0.45</v>
      </c>
      <c r="L750" t="s">
        <v>1829</v>
      </c>
      <c r="M750" t="s">
        <v>1830</v>
      </c>
      <c r="N750">
        <f>2000+RIGHT(Table1[[#This Row],[Release Date]],2)</f>
        <v>2016</v>
      </c>
      <c r="O750">
        <f>_xlfn.MAXIFS(Table1[[#This Row],[Total Shipped]]:Table1[[#This Row],[Total Sales]],Table1[[#This Row],[Total Shipped]]:Table1[[#This Row],[Total Sales]],"&lt;&gt;#N/A")</f>
        <v>0.45</v>
      </c>
      <c r="P750">
        <f>_xlfn.MAXIFS(Table1[[#This Row],[VGChartz Score]:[User Score]],Table1[[#This Row],[VGChartz Score]:[User Score]],"&lt;&gt;#N/A")</f>
        <v>0</v>
      </c>
    </row>
    <row r="751" spans="1:16" hidden="1" x14ac:dyDescent="0.2">
      <c r="A751">
        <f t="shared" si="14"/>
        <v>750</v>
      </c>
      <c r="B751">
        <v>50</v>
      </c>
      <c r="C751" t="s">
        <v>138</v>
      </c>
      <c r="D751" t="s">
        <v>1831</v>
      </c>
      <c r="E751" t="s">
        <v>1755</v>
      </c>
      <c r="F751" t="s">
        <v>1</v>
      </c>
      <c r="G751" t="e">
        <v>#N/A</v>
      </c>
      <c r="H751">
        <v>6.7</v>
      </c>
      <c r="I751" t="e">
        <v>#N/A</v>
      </c>
      <c r="J751" s="2" t="e">
        <v>#N/A</v>
      </c>
      <c r="K751" s="2">
        <v>0.44</v>
      </c>
      <c r="L751" t="s">
        <v>1832</v>
      </c>
      <c r="M751" t="s">
        <v>142</v>
      </c>
      <c r="N751">
        <f>2000+RIGHT(Table1[[#This Row],[Release Date]],2)</f>
        <v>2016</v>
      </c>
      <c r="O751">
        <f>_xlfn.MAXIFS(Table1[[#This Row],[Total Shipped]]:Table1[[#This Row],[Total Sales]],Table1[[#This Row],[Total Shipped]]:Table1[[#This Row],[Total Sales]],"&lt;&gt;#N/A")</f>
        <v>0.44</v>
      </c>
      <c r="P751">
        <f>_xlfn.MAXIFS(Table1[[#This Row],[VGChartz Score]:[User Score]],Table1[[#This Row],[VGChartz Score]:[User Score]],"&lt;&gt;#N/A")</f>
        <v>6.7</v>
      </c>
    </row>
    <row r="752" spans="1:16" hidden="1" x14ac:dyDescent="0.2">
      <c r="A752">
        <f t="shared" si="14"/>
        <v>751</v>
      </c>
      <c r="B752">
        <v>51</v>
      </c>
      <c r="C752" t="s">
        <v>138</v>
      </c>
      <c r="D752" t="s">
        <v>1833</v>
      </c>
      <c r="E752" t="s">
        <v>1755</v>
      </c>
      <c r="F752" t="s">
        <v>151</v>
      </c>
      <c r="G752" t="e">
        <v>#N/A</v>
      </c>
      <c r="H752" t="e">
        <v>#N/A</v>
      </c>
      <c r="I752" t="e">
        <v>#N/A</v>
      </c>
      <c r="J752" s="1" t="e">
        <v>#N/A</v>
      </c>
      <c r="K752" s="1">
        <v>0.43</v>
      </c>
      <c r="L752" t="s">
        <v>396</v>
      </c>
      <c r="M752" t="s">
        <v>550</v>
      </c>
      <c r="N752">
        <f>2000+RIGHT(Table1[[#This Row],[Release Date]],2)</f>
        <v>2016</v>
      </c>
      <c r="O752">
        <f>_xlfn.MAXIFS(Table1[[#This Row],[Total Shipped]]:Table1[[#This Row],[Total Sales]],Table1[[#This Row],[Total Shipped]]:Table1[[#This Row],[Total Sales]],"&lt;&gt;#N/A")</f>
        <v>0.43</v>
      </c>
      <c r="P752">
        <f>_xlfn.MAXIFS(Table1[[#This Row],[VGChartz Score]:[User Score]],Table1[[#This Row],[VGChartz Score]:[User Score]],"&lt;&gt;#N/A")</f>
        <v>0</v>
      </c>
    </row>
    <row r="753" spans="1:16" hidden="1" x14ac:dyDescent="0.2">
      <c r="A753">
        <f t="shared" si="14"/>
        <v>752</v>
      </c>
      <c r="B753">
        <v>52</v>
      </c>
      <c r="C753" t="s">
        <v>138</v>
      </c>
      <c r="D753" t="s">
        <v>1834</v>
      </c>
      <c r="E753" t="s">
        <v>1755</v>
      </c>
      <c r="F753" t="s">
        <v>254</v>
      </c>
      <c r="G753" t="e">
        <v>#N/A</v>
      </c>
      <c r="H753" t="e">
        <v>#N/A</v>
      </c>
      <c r="I753" t="e">
        <v>#N/A</v>
      </c>
      <c r="J753" s="2" t="e">
        <v>#N/A</v>
      </c>
      <c r="K753" s="2">
        <v>0.42</v>
      </c>
      <c r="L753" t="s">
        <v>1835</v>
      </c>
      <c r="M753" t="s">
        <v>1333</v>
      </c>
      <c r="N753">
        <f>2000+RIGHT(Table1[[#This Row],[Release Date]],2)</f>
        <v>2013</v>
      </c>
      <c r="O753">
        <f>_xlfn.MAXIFS(Table1[[#This Row],[Total Shipped]]:Table1[[#This Row],[Total Sales]],Table1[[#This Row],[Total Shipped]]:Table1[[#This Row],[Total Sales]],"&lt;&gt;#N/A")</f>
        <v>0.42</v>
      </c>
      <c r="P753">
        <f>_xlfn.MAXIFS(Table1[[#This Row],[VGChartz Score]:[User Score]],Table1[[#This Row],[VGChartz Score]:[User Score]],"&lt;&gt;#N/A")</f>
        <v>0</v>
      </c>
    </row>
    <row r="754" spans="1:16" hidden="1" x14ac:dyDescent="0.2">
      <c r="A754">
        <f t="shared" ref="A754:A806" si="15">ROW()-1</f>
        <v>753</v>
      </c>
      <c r="B754">
        <v>53</v>
      </c>
      <c r="C754" t="s">
        <v>138</v>
      </c>
      <c r="D754" t="s">
        <v>529</v>
      </c>
      <c r="E754" t="s">
        <v>1755</v>
      </c>
      <c r="F754" t="s">
        <v>233</v>
      </c>
      <c r="G754">
        <v>8.9</v>
      </c>
      <c r="H754">
        <v>8.6</v>
      </c>
      <c r="I754" t="e">
        <v>#N/A</v>
      </c>
      <c r="J754" s="1" t="e">
        <v>#N/A</v>
      </c>
      <c r="K754" s="1">
        <v>0.42</v>
      </c>
      <c r="L754" t="s">
        <v>1758</v>
      </c>
      <c r="M754" t="s">
        <v>693</v>
      </c>
      <c r="N754">
        <f>2000+RIGHT(Table1[[#This Row],[Release Date]],2)</f>
        <v>2012</v>
      </c>
      <c r="O754">
        <f>_xlfn.MAXIFS(Table1[[#This Row],[Total Shipped]]:Table1[[#This Row],[Total Sales]],Table1[[#This Row],[Total Shipped]]:Table1[[#This Row],[Total Sales]],"&lt;&gt;#N/A")</f>
        <v>0.42</v>
      </c>
      <c r="P754">
        <f>_xlfn.MAXIFS(Table1[[#This Row],[VGChartz Score]:[User Score]],Table1[[#This Row],[VGChartz Score]:[User Score]],"&lt;&gt;#N/A")</f>
        <v>8.9</v>
      </c>
    </row>
    <row r="755" spans="1:16" hidden="1" x14ac:dyDescent="0.2">
      <c r="A755">
        <f t="shared" si="15"/>
        <v>754</v>
      </c>
      <c r="B755">
        <v>54</v>
      </c>
      <c r="C755" t="s">
        <v>138</v>
      </c>
      <c r="D755" t="s">
        <v>1836</v>
      </c>
      <c r="E755" t="s">
        <v>1755</v>
      </c>
      <c r="F755" t="s">
        <v>233</v>
      </c>
      <c r="G755" t="e">
        <v>#N/A</v>
      </c>
      <c r="H755" t="e">
        <v>#N/A</v>
      </c>
      <c r="I755" t="e">
        <v>#N/A</v>
      </c>
      <c r="J755" s="2" t="e">
        <v>#N/A</v>
      </c>
      <c r="K755" s="2">
        <v>0.39</v>
      </c>
      <c r="L755" t="s">
        <v>1758</v>
      </c>
      <c r="M755" t="s">
        <v>1837</v>
      </c>
      <c r="N755">
        <f>2000+RIGHT(Table1[[#This Row],[Release Date]],2)</f>
        <v>2012</v>
      </c>
      <c r="O755">
        <f>_xlfn.MAXIFS(Table1[[#This Row],[Total Shipped]]:Table1[[#This Row],[Total Sales]],Table1[[#This Row],[Total Shipped]]:Table1[[#This Row],[Total Sales]],"&lt;&gt;#N/A")</f>
        <v>0.39</v>
      </c>
      <c r="P755">
        <f>_xlfn.MAXIFS(Table1[[#This Row],[VGChartz Score]:[User Score]],Table1[[#This Row],[VGChartz Score]:[User Score]],"&lt;&gt;#N/A")</f>
        <v>0</v>
      </c>
    </row>
    <row r="756" spans="1:16" hidden="1" x14ac:dyDescent="0.2">
      <c r="A756">
        <f t="shared" si="15"/>
        <v>755</v>
      </c>
      <c r="B756">
        <v>55</v>
      </c>
      <c r="C756" t="s">
        <v>138</v>
      </c>
      <c r="D756" t="s">
        <v>1838</v>
      </c>
      <c r="E756" t="s">
        <v>1755</v>
      </c>
      <c r="F756" t="s">
        <v>1</v>
      </c>
      <c r="G756" t="e">
        <v>#N/A</v>
      </c>
      <c r="H756">
        <v>6.7</v>
      </c>
      <c r="I756" t="e">
        <v>#N/A</v>
      </c>
      <c r="J756" s="1" t="e">
        <v>#N/A</v>
      </c>
      <c r="K756" s="1">
        <v>0.38</v>
      </c>
      <c r="L756" t="s">
        <v>1839</v>
      </c>
      <c r="M756" t="s">
        <v>91</v>
      </c>
      <c r="N756">
        <f>2000+RIGHT(Table1[[#This Row],[Release Date]],2)</f>
        <v>2014</v>
      </c>
      <c r="O756">
        <f>_xlfn.MAXIFS(Table1[[#This Row],[Total Shipped]]:Table1[[#This Row],[Total Sales]],Table1[[#This Row],[Total Shipped]]:Table1[[#This Row],[Total Sales]],"&lt;&gt;#N/A")</f>
        <v>0.38</v>
      </c>
      <c r="P756">
        <f>_xlfn.MAXIFS(Table1[[#This Row],[VGChartz Score]:[User Score]],Table1[[#This Row],[VGChartz Score]:[User Score]],"&lt;&gt;#N/A")</f>
        <v>6.7</v>
      </c>
    </row>
    <row r="757" spans="1:16" hidden="1" x14ac:dyDescent="0.2">
      <c r="A757">
        <f t="shared" si="15"/>
        <v>756</v>
      </c>
      <c r="B757">
        <v>56</v>
      </c>
      <c r="C757" t="s">
        <v>138</v>
      </c>
      <c r="D757" t="s">
        <v>1840</v>
      </c>
      <c r="E757" t="s">
        <v>1755</v>
      </c>
      <c r="F757" t="s">
        <v>151</v>
      </c>
      <c r="G757" t="e">
        <v>#N/A</v>
      </c>
      <c r="H757" t="e">
        <v>#N/A</v>
      </c>
      <c r="I757" t="e">
        <v>#N/A</v>
      </c>
      <c r="J757" s="2" t="e">
        <v>#N/A</v>
      </c>
      <c r="K757" s="2">
        <v>0.38</v>
      </c>
      <c r="L757" t="s">
        <v>1758</v>
      </c>
      <c r="M757" t="s">
        <v>1147</v>
      </c>
      <c r="N757">
        <f>2000+RIGHT(Table1[[#This Row],[Release Date]],2)</f>
        <v>2012</v>
      </c>
      <c r="O757">
        <f>_xlfn.MAXIFS(Table1[[#This Row],[Total Shipped]]:Table1[[#This Row],[Total Sales]],Table1[[#This Row],[Total Shipped]]:Table1[[#This Row],[Total Sales]],"&lt;&gt;#N/A")</f>
        <v>0.38</v>
      </c>
      <c r="P757">
        <f>_xlfn.MAXIFS(Table1[[#This Row],[VGChartz Score]:[User Score]],Table1[[#This Row],[VGChartz Score]:[User Score]],"&lt;&gt;#N/A")</f>
        <v>0</v>
      </c>
    </row>
    <row r="758" spans="1:16" hidden="1" x14ac:dyDescent="0.2">
      <c r="A758">
        <f t="shared" si="15"/>
        <v>757</v>
      </c>
      <c r="B758">
        <v>57</v>
      </c>
      <c r="C758" t="s">
        <v>138</v>
      </c>
      <c r="D758" t="s">
        <v>1279</v>
      </c>
      <c r="E758" t="s">
        <v>1755</v>
      </c>
      <c r="F758" t="s">
        <v>321</v>
      </c>
      <c r="G758">
        <v>7.3</v>
      </c>
      <c r="H758">
        <v>7</v>
      </c>
      <c r="I758" t="e">
        <v>#N/A</v>
      </c>
      <c r="J758" s="1" t="e">
        <v>#N/A</v>
      </c>
      <c r="K758" s="1">
        <v>0.38</v>
      </c>
      <c r="L758" t="s">
        <v>1758</v>
      </c>
      <c r="M758" t="s">
        <v>1115</v>
      </c>
      <c r="N758">
        <f>2000+RIGHT(Table1[[#This Row],[Release Date]],2)</f>
        <v>2012</v>
      </c>
      <c r="O758">
        <f>_xlfn.MAXIFS(Table1[[#This Row],[Total Shipped]]:Table1[[#This Row],[Total Sales]],Table1[[#This Row],[Total Shipped]]:Table1[[#This Row],[Total Sales]],"&lt;&gt;#N/A")</f>
        <v>0.38</v>
      </c>
      <c r="P758">
        <f>_xlfn.MAXIFS(Table1[[#This Row],[VGChartz Score]:[User Score]],Table1[[#This Row],[VGChartz Score]:[User Score]],"&lt;&gt;#N/A")</f>
        <v>7.3</v>
      </c>
    </row>
    <row r="759" spans="1:16" hidden="1" x14ac:dyDescent="0.2">
      <c r="A759">
        <f t="shared" si="15"/>
        <v>758</v>
      </c>
      <c r="B759">
        <v>58</v>
      </c>
      <c r="C759" t="s">
        <v>138</v>
      </c>
      <c r="D759" t="s">
        <v>1841</v>
      </c>
      <c r="E759" t="s">
        <v>1755</v>
      </c>
      <c r="F759" t="s">
        <v>321</v>
      </c>
      <c r="G759" t="e">
        <v>#N/A</v>
      </c>
      <c r="H759">
        <v>8.6</v>
      </c>
      <c r="I759" t="e">
        <v>#N/A</v>
      </c>
      <c r="J759" s="2" t="e">
        <v>#N/A</v>
      </c>
      <c r="K759" s="2">
        <v>0.37</v>
      </c>
      <c r="L759" t="s">
        <v>1758</v>
      </c>
      <c r="M759" t="s">
        <v>195</v>
      </c>
      <c r="N759">
        <f>2000+RIGHT(Table1[[#This Row],[Release Date]],2)</f>
        <v>2012</v>
      </c>
      <c r="O759">
        <f>_xlfn.MAXIFS(Table1[[#This Row],[Total Shipped]]:Table1[[#This Row],[Total Sales]],Table1[[#This Row],[Total Shipped]]:Table1[[#This Row],[Total Sales]],"&lt;&gt;#N/A")</f>
        <v>0.37</v>
      </c>
      <c r="P759">
        <f>_xlfn.MAXIFS(Table1[[#This Row],[VGChartz Score]:[User Score]],Table1[[#This Row],[VGChartz Score]:[User Score]],"&lt;&gt;#N/A")</f>
        <v>8.6</v>
      </c>
    </row>
    <row r="760" spans="1:16" hidden="1" x14ac:dyDescent="0.2">
      <c r="A760">
        <f t="shared" si="15"/>
        <v>759</v>
      </c>
      <c r="B760">
        <v>59</v>
      </c>
      <c r="C760" t="s">
        <v>138</v>
      </c>
      <c r="D760" t="s">
        <v>1842</v>
      </c>
      <c r="E760" t="s">
        <v>1755</v>
      </c>
      <c r="F760" t="s">
        <v>240</v>
      </c>
      <c r="G760">
        <v>5.7</v>
      </c>
      <c r="H760">
        <v>6</v>
      </c>
      <c r="I760" t="e">
        <v>#N/A</v>
      </c>
      <c r="J760" s="1" t="e">
        <v>#N/A</v>
      </c>
      <c r="K760" s="1">
        <v>0.37</v>
      </c>
      <c r="L760" t="s">
        <v>604</v>
      </c>
      <c r="M760" t="s">
        <v>531</v>
      </c>
      <c r="N760">
        <f>2000+RIGHT(Table1[[#This Row],[Release Date]],2)</f>
        <v>2013</v>
      </c>
      <c r="O760">
        <f>_xlfn.MAXIFS(Table1[[#This Row],[Total Shipped]]:Table1[[#This Row],[Total Sales]],Table1[[#This Row],[Total Shipped]]:Table1[[#This Row],[Total Sales]],"&lt;&gt;#N/A")</f>
        <v>0.37</v>
      </c>
      <c r="P760">
        <f>_xlfn.MAXIFS(Table1[[#This Row],[VGChartz Score]:[User Score]],Table1[[#This Row],[VGChartz Score]:[User Score]],"&lt;&gt;#N/A")</f>
        <v>6</v>
      </c>
    </row>
    <row r="761" spans="1:16" hidden="1" x14ac:dyDescent="0.2">
      <c r="A761">
        <f t="shared" si="15"/>
        <v>760</v>
      </c>
      <c r="B761">
        <v>60</v>
      </c>
      <c r="C761" t="s">
        <v>138</v>
      </c>
      <c r="D761" t="s">
        <v>1843</v>
      </c>
      <c r="E761" t="s">
        <v>1755</v>
      </c>
      <c r="F761" t="s">
        <v>151</v>
      </c>
      <c r="G761" t="e">
        <v>#N/A</v>
      </c>
      <c r="H761">
        <v>3</v>
      </c>
      <c r="I761" t="e">
        <v>#N/A</v>
      </c>
      <c r="J761" s="2" t="e">
        <v>#N/A</v>
      </c>
      <c r="K761" s="2">
        <v>0.36</v>
      </c>
      <c r="L761" t="s">
        <v>1758</v>
      </c>
      <c r="M761" t="s">
        <v>1823</v>
      </c>
      <c r="N761">
        <f>2000+RIGHT(Table1[[#This Row],[Release Date]],2)</f>
        <v>2012</v>
      </c>
      <c r="O761">
        <f>_xlfn.MAXIFS(Table1[[#This Row],[Total Shipped]]:Table1[[#This Row],[Total Sales]],Table1[[#This Row],[Total Shipped]]:Table1[[#This Row],[Total Sales]],"&lt;&gt;#N/A")</f>
        <v>0.36</v>
      </c>
      <c r="P761">
        <f>_xlfn.MAXIFS(Table1[[#This Row],[VGChartz Score]:[User Score]],Table1[[#This Row],[VGChartz Score]:[User Score]],"&lt;&gt;#N/A")</f>
        <v>3</v>
      </c>
    </row>
    <row r="762" spans="1:16" hidden="1" x14ac:dyDescent="0.2">
      <c r="A762">
        <f t="shared" si="15"/>
        <v>761</v>
      </c>
      <c r="B762">
        <v>61</v>
      </c>
      <c r="C762" t="s">
        <v>138</v>
      </c>
      <c r="D762" t="s">
        <v>1844</v>
      </c>
      <c r="E762" t="s">
        <v>1755</v>
      </c>
      <c r="F762" t="s">
        <v>1</v>
      </c>
      <c r="G762">
        <v>8.6999999999999993</v>
      </c>
      <c r="H762">
        <v>8</v>
      </c>
      <c r="I762" t="e">
        <v>#N/A</v>
      </c>
      <c r="J762" s="1" t="e">
        <v>#N/A</v>
      </c>
      <c r="K762" s="1">
        <v>0.36</v>
      </c>
      <c r="L762" t="s">
        <v>1845</v>
      </c>
      <c r="M762" t="s">
        <v>91</v>
      </c>
      <c r="N762">
        <f>2000+RIGHT(Table1[[#This Row],[Release Date]],2)</f>
        <v>2013</v>
      </c>
      <c r="O762">
        <f>_xlfn.MAXIFS(Table1[[#This Row],[Total Shipped]]:Table1[[#This Row],[Total Sales]],Table1[[#This Row],[Total Shipped]]:Table1[[#This Row],[Total Sales]],"&lt;&gt;#N/A")</f>
        <v>0.36</v>
      </c>
      <c r="P762">
        <f>_xlfn.MAXIFS(Table1[[#This Row],[VGChartz Score]:[User Score]],Table1[[#This Row],[VGChartz Score]:[User Score]],"&lt;&gt;#N/A")</f>
        <v>8.6999999999999993</v>
      </c>
    </row>
    <row r="763" spans="1:16" hidden="1" x14ac:dyDescent="0.2">
      <c r="A763">
        <f t="shared" si="15"/>
        <v>762</v>
      </c>
      <c r="B763">
        <v>62</v>
      </c>
      <c r="C763" t="s">
        <v>138</v>
      </c>
      <c r="D763" t="s">
        <v>564</v>
      </c>
      <c r="E763" t="s">
        <v>1755</v>
      </c>
      <c r="F763" t="s">
        <v>151</v>
      </c>
      <c r="G763" t="e">
        <v>#N/A</v>
      </c>
      <c r="H763">
        <v>7.7</v>
      </c>
      <c r="I763" t="e">
        <v>#N/A</v>
      </c>
      <c r="J763" s="2" t="e">
        <v>#N/A</v>
      </c>
      <c r="K763" s="2">
        <v>0.36</v>
      </c>
      <c r="L763" t="s">
        <v>1758</v>
      </c>
      <c r="M763" t="s">
        <v>1846</v>
      </c>
      <c r="N763">
        <f>2000+RIGHT(Table1[[#This Row],[Release Date]],2)</f>
        <v>2012</v>
      </c>
      <c r="O763">
        <f>_xlfn.MAXIFS(Table1[[#This Row],[Total Shipped]]:Table1[[#This Row],[Total Sales]],Table1[[#This Row],[Total Shipped]]:Table1[[#This Row],[Total Sales]],"&lt;&gt;#N/A")</f>
        <v>0.36</v>
      </c>
      <c r="P763">
        <f>_xlfn.MAXIFS(Table1[[#This Row],[VGChartz Score]:[User Score]],Table1[[#This Row],[VGChartz Score]:[User Score]],"&lt;&gt;#N/A")</f>
        <v>7.7</v>
      </c>
    </row>
    <row r="764" spans="1:16" hidden="1" x14ac:dyDescent="0.2">
      <c r="A764">
        <f t="shared" si="15"/>
        <v>763</v>
      </c>
      <c r="B764">
        <v>63</v>
      </c>
      <c r="C764" t="s">
        <v>138</v>
      </c>
      <c r="D764" t="s">
        <v>412</v>
      </c>
      <c r="E764" t="s">
        <v>1755</v>
      </c>
      <c r="F764" t="s">
        <v>233</v>
      </c>
      <c r="G764" t="e">
        <v>#N/A</v>
      </c>
      <c r="H764">
        <v>8.8000000000000007</v>
      </c>
      <c r="I764" t="e">
        <v>#N/A</v>
      </c>
      <c r="J764" s="1" t="e">
        <v>#N/A</v>
      </c>
      <c r="K764" s="1">
        <v>0.35</v>
      </c>
      <c r="L764" t="s">
        <v>542</v>
      </c>
      <c r="M764" t="s">
        <v>414</v>
      </c>
      <c r="N764">
        <f>2000+RIGHT(Table1[[#This Row],[Release Date]],2)</f>
        <v>2013</v>
      </c>
      <c r="O764">
        <f>_xlfn.MAXIFS(Table1[[#This Row],[Total Shipped]]:Table1[[#This Row],[Total Sales]],Table1[[#This Row],[Total Shipped]]:Table1[[#This Row],[Total Sales]],"&lt;&gt;#N/A")</f>
        <v>0.35</v>
      </c>
      <c r="P764">
        <f>_xlfn.MAXIFS(Table1[[#This Row],[VGChartz Score]:[User Score]],Table1[[#This Row],[VGChartz Score]:[User Score]],"&lt;&gt;#N/A")</f>
        <v>8.8000000000000007</v>
      </c>
    </row>
    <row r="765" spans="1:16" hidden="1" x14ac:dyDescent="0.2">
      <c r="A765">
        <f t="shared" si="15"/>
        <v>764</v>
      </c>
      <c r="B765">
        <v>64</v>
      </c>
      <c r="C765" t="s">
        <v>138</v>
      </c>
      <c r="D765" t="s">
        <v>1847</v>
      </c>
      <c r="E765" t="s">
        <v>1755</v>
      </c>
      <c r="F765" t="s">
        <v>1</v>
      </c>
      <c r="G765" t="e">
        <v>#N/A</v>
      </c>
      <c r="H765">
        <v>8</v>
      </c>
      <c r="I765" t="e">
        <v>#N/A</v>
      </c>
      <c r="J765" s="2" t="e">
        <v>#N/A</v>
      </c>
      <c r="K765" s="2">
        <v>0.33</v>
      </c>
      <c r="L765" t="s">
        <v>1826</v>
      </c>
      <c r="M765" t="s">
        <v>1848</v>
      </c>
      <c r="N765">
        <f>2000+RIGHT(Table1[[#This Row],[Release Date]],2)</f>
        <v>2016</v>
      </c>
      <c r="O765">
        <f>_xlfn.MAXIFS(Table1[[#This Row],[Total Shipped]]:Table1[[#This Row],[Total Sales]],Table1[[#This Row],[Total Shipped]]:Table1[[#This Row],[Total Sales]],"&lt;&gt;#N/A")</f>
        <v>0.33</v>
      </c>
      <c r="P765">
        <f>_xlfn.MAXIFS(Table1[[#This Row],[VGChartz Score]:[User Score]],Table1[[#This Row],[VGChartz Score]:[User Score]],"&lt;&gt;#N/A")</f>
        <v>8</v>
      </c>
    </row>
    <row r="766" spans="1:16" hidden="1" x14ac:dyDescent="0.2">
      <c r="A766">
        <f t="shared" si="15"/>
        <v>765</v>
      </c>
      <c r="B766">
        <v>65</v>
      </c>
      <c r="C766" t="s">
        <v>138</v>
      </c>
      <c r="D766" t="s">
        <v>1849</v>
      </c>
      <c r="E766" t="s">
        <v>1755</v>
      </c>
      <c r="F766" t="s">
        <v>321</v>
      </c>
      <c r="G766" t="e">
        <v>#N/A</v>
      </c>
      <c r="H766" t="e">
        <v>#N/A</v>
      </c>
      <c r="I766" t="e">
        <v>#N/A</v>
      </c>
      <c r="J766" s="1" t="e">
        <v>#N/A</v>
      </c>
      <c r="K766" s="1">
        <v>0.32</v>
      </c>
      <c r="L766" t="s">
        <v>1288</v>
      </c>
      <c r="M766" t="s">
        <v>550</v>
      </c>
      <c r="N766">
        <f>2000+RIGHT(Table1[[#This Row],[Release Date]],2)</f>
        <v>2016</v>
      </c>
      <c r="O766">
        <f>_xlfn.MAXIFS(Table1[[#This Row],[Total Shipped]]:Table1[[#This Row],[Total Sales]],Table1[[#This Row],[Total Shipped]]:Table1[[#This Row],[Total Sales]],"&lt;&gt;#N/A")</f>
        <v>0.32</v>
      </c>
      <c r="P766">
        <f>_xlfn.MAXIFS(Table1[[#This Row],[VGChartz Score]:[User Score]],Table1[[#This Row],[VGChartz Score]:[User Score]],"&lt;&gt;#N/A")</f>
        <v>0</v>
      </c>
    </row>
    <row r="767" spans="1:16" hidden="1" x14ac:dyDescent="0.2">
      <c r="A767">
        <f t="shared" si="15"/>
        <v>766</v>
      </c>
      <c r="B767">
        <v>66</v>
      </c>
      <c r="C767" t="s">
        <v>138</v>
      </c>
      <c r="D767" t="s">
        <v>667</v>
      </c>
      <c r="E767" t="s">
        <v>1755</v>
      </c>
      <c r="F767" t="s">
        <v>321</v>
      </c>
      <c r="G767" t="e">
        <v>#N/A</v>
      </c>
      <c r="H767" t="e">
        <v>#N/A</v>
      </c>
      <c r="I767" t="e">
        <v>#N/A</v>
      </c>
      <c r="J767" s="2" t="e">
        <v>#N/A</v>
      </c>
      <c r="K767" s="2">
        <v>0.32</v>
      </c>
      <c r="L767" t="s">
        <v>668</v>
      </c>
      <c r="M767" t="s">
        <v>669</v>
      </c>
      <c r="N767">
        <f>2000+RIGHT(Table1[[#This Row],[Release Date]],2)</f>
        <v>2013</v>
      </c>
      <c r="O767">
        <f>_xlfn.MAXIFS(Table1[[#This Row],[Total Shipped]]:Table1[[#This Row],[Total Sales]],Table1[[#This Row],[Total Shipped]]:Table1[[#This Row],[Total Sales]],"&lt;&gt;#N/A")</f>
        <v>0.32</v>
      </c>
      <c r="P767">
        <f>_xlfn.MAXIFS(Table1[[#This Row],[VGChartz Score]:[User Score]],Table1[[#This Row],[VGChartz Score]:[User Score]],"&lt;&gt;#N/A")</f>
        <v>0</v>
      </c>
    </row>
    <row r="768" spans="1:16" hidden="1" x14ac:dyDescent="0.2">
      <c r="A768">
        <f t="shared" si="15"/>
        <v>767</v>
      </c>
      <c r="B768">
        <v>67</v>
      </c>
      <c r="C768" t="s">
        <v>138</v>
      </c>
      <c r="D768" t="s">
        <v>1850</v>
      </c>
      <c r="E768" t="s">
        <v>1755</v>
      </c>
      <c r="F768" t="s">
        <v>240</v>
      </c>
      <c r="G768">
        <v>5.3</v>
      </c>
      <c r="H768">
        <v>3.7</v>
      </c>
      <c r="I768" t="e">
        <v>#N/A</v>
      </c>
      <c r="J768" s="1" t="e">
        <v>#N/A</v>
      </c>
      <c r="K768" s="1">
        <v>0.31</v>
      </c>
      <c r="L768" t="s">
        <v>416</v>
      </c>
      <c r="M768" t="s">
        <v>1851</v>
      </c>
      <c r="N768">
        <f>2000+RIGHT(Table1[[#This Row],[Release Date]],2)</f>
        <v>2014</v>
      </c>
      <c r="O768">
        <f>_xlfn.MAXIFS(Table1[[#This Row],[Total Shipped]]:Table1[[#This Row],[Total Sales]],Table1[[#This Row],[Total Shipped]]:Table1[[#This Row],[Total Sales]],"&lt;&gt;#N/A")</f>
        <v>0.31</v>
      </c>
      <c r="P768">
        <f>_xlfn.MAXIFS(Table1[[#This Row],[VGChartz Score]:[User Score]],Table1[[#This Row],[VGChartz Score]:[User Score]],"&lt;&gt;#N/A")</f>
        <v>5.3</v>
      </c>
    </row>
    <row r="769" spans="1:16" hidden="1" x14ac:dyDescent="0.2">
      <c r="A769">
        <f t="shared" si="15"/>
        <v>768</v>
      </c>
      <c r="B769">
        <v>68</v>
      </c>
      <c r="C769" t="s">
        <v>138</v>
      </c>
      <c r="D769" t="s">
        <v>1852</v>
      </c>
      <c r="E769" t="s">
        <v>1755</v>
      </c>
      <c r="F769" t="s">
        <v>1</v>
      </c>
      <c r="G769" t="e">
        <v>#N/A</v>
      </c>
      <c r="H769">
        <v>6.8</v>
      </c>
      <c r="I769" t="e">
        <v>#N/A</v>
      </c>
      <c r="J769" s="2" t="e">
        <v>#N/A</v>
      </c>
      <c r="K769" s="2">
        <v>0.3</v>
      </c>
      <c r="L769" t="s">
        <v>1758</v>
      </c>
      <c r="M769" t="s">
        <v>1846</v>
      </c>
      <c r="N769">
        <f>2000+RIGHT(Table1[[#This Row],[Release Date]],2)</f>
        <v>2012</v>
      </c>
      <c r="O769">
        <f>_xlfn.MAXIFS(Table1[[#This Row],[Total Shipped]]:Table1[[#This Row],[Total Sales]],Table1[[#This Row],[Total Shipped]]:Table1[[#This Row],[Total Sales]],"&lt;&gt;#N/A")</f>
        <v>0.3</v>
      </c>
      <c r="P769">
        <f>_xlfn.MAXIFS(Table1[[#This Row],[VGChartz Score]:[User Score]],Table1[[#This Row],[VGChartz Score]:[User Score]],"&lt;&gt;#N/A")</f>
        <v>6.8</v>
      </c>
    </row>
    <row r="770" spans="1:16" hidden="1" x14ac:dyDescent="0.2">
      <c r="A770">
        <f t="shared" si="15"/>
        <v>769</v>
      </c>
      <c r="B770">
        <v>69</v>
      </c>
      <c r="C770" t="s">
        <v>138</v>
      </c>
      <c r="D770" t="s">
        <v>1853</v>
      </c>
      <c r="E770" t="s">
        <v>1755</v>
      </c>
      <c r="F770" t="s">
        <v>1854</v>
      </c>
      <c r="G770" t="e">
        <v>#N/A</v>
      </c>
      <c r="H770">
        <v>9</v>
      </c>
      <c r="I770" t="e">
        <v>#N/A</v>
      </c>
      <c r="J770" s="1">
        <v>0.3</v>
      </c>
      <c r="K770" s="1" t="e">
        <v>#N/A</v>
      </c>
      <c r="L770" t="s">
        <v>1855</v>
      </c>
      <c r="M770" t="s">
        <v>1856</v>
      </c>
      <c r="N770">
        <f>2000+RIGHT(Table1[[#This Row],[Release Date]],2)</f>
        <v>2014</v>
      </c>
      <c r="O770">
        <f>_xlfn.MAXIFS(Table1[[#This Row],[Total Shipped]]:Table1[[#This Row],[Total Sales]],Table1[[#This Row],[Total Shipped]]:Table1[[#This Row],[Total Sales]],"&lt;&gt;#N/A")</f>
        <v>0.3</v>
      </c>
      <c r="P770">
        <f>_xlfn.MAXIFS(Table1[[#This Row],[VGChartz Score]:[User Score]],Table1[[#This Row],[VGChartz Score]:[User Score]],"&lt;&gt;#N/A")</f>
        <v>9</v>
      </c>
    </row>
    <row r="771" spans="1:16" hidden="1" x14ac:dyDescent="0.2">
      <c r="A771">
        <f t="shared" si="15"/>
        <v>770</v>
      </c>
      <c r="B771">
        <v>70</v>
      </c>
      <c r="C771" t="s">
        <v>138</v>
      </c>
      <c r="D771" t="s">
        <v>1857</v>
      </c>
      <c r="E771" t="s">
        <v>1755</v>
      </c>
      <c r="F771" t="s">
        <v>321</v>
      </c>
      <c r="G771" t="e">
        <v>#N/A</v>
      </c>
      <c r="H771" t="e">
        <v>#N/A</v>
      </c>
      <c r="I771" t="e">
        <v>#N/A</v>
      </c>
      <c r="J771" s="2" t="e">
        <v>#N/A</v>
      </c>
      <c r="K771" s="2">
        <v>0.28999999999999998</v>
      </c>
      <c r="L771" t="s">
        <v>1858</v>
      </c>
      <c r="M771" t="s">
        <v>463</v>
      </c>
      <c r="N771">
        <f>2000+RIGHT(Table1[[#This Row],[Release Date]],2)</f>
        <v>2016</v>
      </c>
      <c r="O771">
        <f>_xlfn.MAXIFS(Table1[[#This Row],[Total Shipped]]:Table1[[#This Row],[Total Sales]],Table1[[#This Row],[Total Shipped]]:Table1[[#This Row],[Total Sales]],"&lt;&gt;#N/A")</f>
        <v>0.28999999999999998</v>
      </c>
      <c r="P771">
        <f>_xlfn.MAXIFS(Table1[[#This Row],[VGChartz Score]:[User Score]],Table1[[#This Row],[VGChartz Score]:[User Score]],"&lt;&gt;#N/A")</f>
        <v>0</v>
      </c>
    </row>
    <row r="772" spans="1:16" hidden="1" x14ac:dyDescent="0.2">
      <c r="A772">
        <f t="shared" si="15"/>
        <v>771</v>
      </c>
      <c r="B772">
        <v>71</v>
      </c>
      <c r="C772" t="s">
        <v>138</v>
      </c>
      <c r="D772" t="s">
        <v>1859</v>
      </c>
      <c r="E772" t="s">
        <v>1755</v>
      </c>
      <c r="F772" t="s">
        <v>1</v>
      </c>
      <c r="G772" t="e">
        <v>#N/A</v>
      </c>
      <c r="H772" t="e">
        <v>#N/A</v>
      </c>
      <c r="I772" t="e">
        <v>#N/A</v>
      </c>
      <c r="J772" s="1" t="e">
        <v>#N/A</v>
      </c>
      <c r="K772" s="1">
        <v>0.28999999999999998</v>
      </c>
      <c r="L772" t="s">
        <v>1860</v>
      </c>
      <c r="M772" t="s">
        <v>1159</v>
      </c>
      <c r="N772">
        <f>2000+RIGHT(Table1[[#This Row],[Release Date]],2)</f>
        <v>2013</v>
      </c>
      <c r="O772">
        <f>_xlfn.MAXIFS(Table1[[#This Row],[Total Shipped]]:Table1[[#This Row],[Total Sales]],Table1[[#This Row],[Total Shipped]]:Table1[[#This Row],[Total Sales]],"&lt;&gt;#N/A")</f>
        <v>0.28999999999999998</v>
      </c>
      <c r="P772">
        <f>_xlfn.MAXIFS(Table1[[#This Row],[VGChartz Score]:[User Score]],Table1[[#This Row],[VGChartz Score]:[User Score]],"&lt;&gt;#N/A")</f>
        <v>0</v>
      </c>
    </row>
    <row r="773" spans="1:16" hidden="1" x14ac:dyDescent="0.2">
      <c r="A773">
        <f t="shared" si="15"/>
        <v>772</v>
      </c>
      <c r="B773">
        <v>72</v>
      </c>
      <c r="C773" t="s">
        <v>138</v>
      </c>
      <c r="D773" t="s">
        <v>469</v>
      </c>
      <c r="E773" t="s">
        <v>1755</v>
      </c>
      <c r="F773" t="s">
        <v>151</v>
      </c>
      <c r="G773" t="e">
        <v>#N/A</v>
      </c>
      <c r="H773">
        <v>8.5</v>
      </c>
      <c r="I773" t="e">
        <v>#N/A</v>
      </c>
      <c r="J773" s="2" t="e">
        <v>#N/A</v>
      </c>
      <c r="K773" s="2">
        <v>0.28999999999999998</v>
      </c>
      <c r="L773" t="s">
        <v>604</v>
      </c>
      <c r="M773" t="s">
        <v>91</v>
      </c>
      <c r="N773">
        <f>2000+RIGHT(Table1[[#This Row],[Release Date]],2)</f>
        <v>2013</v>
      </c>
      <c r="O773">
        <f>_xlfn.MAXIFS(Table1[[#This Row],[Total Shipped]]:Table1[[#This Row],[Total Sales]],Table1[[#This Row],[Total Shipped]]:Table1[[#This Row],[Total Sales]],"&lt;&gt;#N/A")</f>
        <v>0.28999999999999998</v>
      </c>
      <c r="P773">
        <f>_xlfn.MAXIFS(Table1[[#This Row],[VGChartz Score]:[User Score]],Table1[[#This Row],[VGChartz Score]:[User Score]],"&lt;&gt;#N/A")</f>
        <v>8.5</v>
      </c>
    </row>
    <row r="774" spans="1:16" hidden="1" x14ac:dyDescent="0.2">
      <c r="A774">
        <f t="shared" si="15"/>
        <v>773</v>
      </c>
      <c r="B774">
        <v>73</v>
      </c>
      <c r="C774" t="s">
        <v>138</v>
      </c>
      <c r="D774" t="s">
        <v>644</v>
      </c>
      <c r="E774" t="s">
        <v>1755</v>
      </c>
      <c r="F774" t="s">
        <v>324</v>
      </c>
      <c r="G774" t="e">
        <v>#N/A</v>
      </c>
      <c r="H774">
        <v>8.4</v>
      </c>
      <c r="I774" t="e">
        <v>#N/A</v>
      </c>
      <c r="J774" s="1" t="e">
        <v>#N/A</v>
      </c>
      <c r="K774" s="1">
        <v>0.28000000000000003</v>
      </c>
      <c r="L774" t="s">
        <v>1163</v>
      </c>
      <c r="M774" t="s">
        <v>519</v>
      </c>
      <c r="N774">
        <f>2000+RIGHT(Table1[[#This Row],[Release Date]],2)</f>
        <v>2013</v>
      </c>
      <c r="O774">
        <f>_xlfn.MAXIFS(Table1[[#This Row],[Total Shipped]]:Table1[[#This Row],[Total Sales]],Table1[[#This Row],[Total Shipped]]:Table1[[#This Row],[Total Sales]],"&lt;&gt;#N/A")</f>
        <v>0.28000000000000003</v>
      </c>
      <c r="P774">
        <f>_xlfn.MAXIFS(Table1[[#This Row],[VGChartz Score]:[User Score]],Table1[[#This Row],[VGChartz Score]:[User Score]],"&lt;&gt;#N/A")</f>
        <v>8.4</v>
      </c>
    </row>
    <row r="775" spans="1:16" hidden="1" x14ac:dyDescent="0.2">
      <c r="A775">
        <f t="shared" si="15"/>
        <v>774</v>
      </c>
      <c r="B775">
        <v>74</v>
      </c>
      <c r="C775" t="s">
        <v>138</v>
      </c>
      <c r="D775" t="s">
        <v>218</v>
      </c>
      <c r="E775" t="s">
        <v>1755</v>
      </c>
      <c r="F775" t="s">
        <v>1</v>
      </c>
      <c r="G775">
        <v>8.8000000000000007</v>
      </c>
      <c r="H775">
        <v>9.3000000000000007</v>
      </c>
      <c r="I775" t="e">
        <v>#N/A</v>
      </c>
      <c r="J775" s="2">
        <v>0.28000000000000003</v>
      </c>
      <c r="K775" s="2" t="e">
        <v>#N/A</v>
      </c>
      <c r="L775" t="s">
        <v>1220</v>
      </c>
      <c r="M775" t="s">
        <v>1258</v>
      </c>
      <c r="N775">
        <f>2000+RIGHT(Table1[[#This Row],[Release Date]],2)</f>
        <v>2014</v>
      </c>
      <c r="O775">
        <f>_xlfn.MAXIFS(Table1[[#This Row],[Total Shipped]]:Table1[[#This Row],[Total Sales]],Table1[[#This Row],[Total Shipped]]:Table1[[#This Row],[Total Sales]],"&lt;&gt;#N/A")</f>
        <v>0.28000000000000003</v>
      </c>
      <c r="P775">
        <f>_xlfn.MAXIFS(Table1[[#This Row],[VGChartz Score]:[User Score]],Table1[[#This Row],[VGChartz Score]:[User Score]],"&lt;&gt;#N/A")</f>
        <v>9.3000000000000007</v>
      </c>
    </row>
    <row r="776" spans="1:16" hidden="1" x14ac:dyDescent="0.2">
      <c r="A776">
        <f t="shared" si="15"/>
        <v>775</v>
      </c>
      <c r="B776">
        <v>75</v>
      </c>
      <c r="C776" t="s">
        <v>138</v>
      </c>
      <c r="D776" t="s">
        <v>1861</v>
      </c>
      <c r="E776" t="s">
        <v>1755</v>
      </c>
      <c r="F776" t="s">
        <v>324</v>
      </c>
      <c r="G776" t="e">
        <v>#N/A</v>
      </c>
      <c r="H776">
        <v>9.1999999999999993</v>
      </c>
      <c r="I776" t="e">
        <v>#N/A</v>
      </c>
      <c r="J776" s="1" t="e">
        <v>#N/A</v>
      </c>
      <c r="K776" s="1">
        <v>0.28000000000000003</v>
      </c>
      <c r="L776" t="s">
        <v>1758</v>
      </c>
      <c r="M776" t="s">
        <v>437</v>
      </c>
      <c r="N776">
        <f>2000+RIGHT(Table1[[#This Row],[Release Date]],2)</f>
        <v>2012</v>
      </c>
      <c r="O776">
        <f>_xlfn.MAXIFS(Table1[[#This Row],[Total Shipped]]:Table1[[#This Row],[Total Sales]],Table1[[#This Row],[Total Shipped]]:Table1[[#This Row],[Total Sales]],"&lt;&gt;#N/A")</f>
        <v>0.28000000000000003</v>
      </c>
      <c r="P776">
        <f>_xlfn.MAXIFS(Table1[[#This Row],[VGChartz Score]:[User Score]],Table1[[#This Row],[VGChartz Score]:[User Score]],"&lt;&gt;#N/A")</f>
        <v>9.1999999999999993</v>
      </c>
    </row>
    <row r="777" spans="1:16" hidden="1" x14ac:dyDescent="0.2">
      <c r="A777">
        <f t="shared" si="15"/>
        <v>776</v>
      </c>
      <c r="B777">
        <v>76</v>
      </c>
      <c r="C777" t="s">
        <v>138</v>
      </c>
      <c r="D777" t="s">
        <v>1862</v>
      </c>
      <c r="E777" t="s">
        <v>1755</v>
      </c>
      <c r="F777" t="s">
        <v>233</v>
      </c>
      <c r="G777" t="e">
        <v>#N/A</v>
      </c>
      <c r="H777" t="e">
        <v>#N/A</v>
      </c>
      <c r="I777" t="e">
        <v>#N/A</v>
      </c>
      <c r="J777" s="2" t="e">
        <v>#N/A</v>
      </c>
      <c r="K777" s="2">
        <v>0.27</v>
      </c>
      <c r="L777" t="s">
        <v>1814</v>
      </c>
      <c r="M777" t="s">
        <v>188</v>
      </c>
      <c r="N777">
        <f>2000+RIGHT(Table1[[#This Row],[Release Date]],2)</f>
        <v>2015</v>
      </c>
      <c r="O777">
        <f>_xlfn.MAXIFS(Table1[[#This Row],[Total Shipped]]:Table1[[#This Row],[Total Sales]],Table1[[#This Row],[Total Shipped]]:Table1[[#This Row],[Total Sales]],"&lt;&gt;#N/A")</f>
        <v>0.27</v>
      </c>
      <c r="P777">
        <f>_xlfn.MAXIFS(Table1[[#This Row],[VGChartz Score]:[User Score]],Table1[[#This Row],[VGChartz Score]:[User Score]],"&lt;&gt;#N/A")</f>
        <v>0</v>
      </c>
    </row>
    <row r="778" spans="1:16" hidden="1" x14ac:dyDescent="0.2">
      <c r="A778">
        <f t="shared" si="15"/>
        <v>777</v>
      </c>
      <c r="B778">
        <v>77</v>
      </c>
      <c r="C778" t="s">
        <v>138</v>
      </c>
      <c r="D778" t="s">
        <v>1863</v>
      </c>
      <c r="E778" t="s">
        <v>1755</v>
      </c>
      <c r="F778" t="s">
        <v>1</v>
      </c>
      <c r="G778">
        <v>4</v>
      </c>
      <c r="H778">
        <v>6.2</v>
      </c>
      <c r="I778" t="e">
        <v>#N/A</v>
      </c>
      <c r="J778" s="1" t="e">
        <v>#N/A</v>
      </c>
      <c r="K778" s="1">
        <v>0.25</v>
      </c>
      <c r="L778" t="s">
        <v>1864</v>
      </c>
      <c r="M778" t="s">
        <v>188</v>
      </c>
      <c r="N778">
        <f>2000+RIGHT(Table1[[#This Row],[Release Date]],2)</f>
        <v>2013</v>
      </c>
      <c r="O778">
        <f>_xlfn.MAXIFS(Table1[[#This Row],[Total Shipped]]:Table1[[#This Row],[Total Sales]],Table1[[#This Row],[Total Shipped]]:Table1[[#This Row],[Total Sales]],"&lt;&gt;#N/A")</f>
        <v>0.25</v>
      </c>
      <c r="P778">
        <f>_xlfn.MAXIFS(Table1[[#This Row],[VGChartz Score]:[User Score]],Table1[[#This Row],[VGChartz Score]:[User Score]],"&lt;&gt;#N/A")</f>
        <v>6.2</v>
      </c>
    </row>
    <row r="779" spans="1:16" hidden="1" x14ac:dyDescent="0.2">
      <c r="A779">
        <f t="shared" si="15"/>
        <v>778</v>
      </c>
      <c r="B779">
        <v>78</v>
      </c>
      <c r="C779" t="s">
        <v>138</v>
      </c>
      <c r="D779" t="s">
        <v>1865</v>
      </c>
      <c r="E779" t="s">
        <v>1755</v>
      </c>
      <c r="F779" t="s">
        <v>979</v>
      </c>
      <c r="G779">
        <v>3.7</v>
      </c>
      <c r="H779">
        <v>5.9</v>
      </c>
      <c r="I779" t="e">
        <v>#N/A</v>
      </c>
      <c r="J779" s="2" t="e">
        <v>#N/A</v>
      </c>
      <c r="K779" s="2">
        <v>0.24</v>
      </c>
      <c r="L779" t="s">
        <v>1758</v>
      </c>
      <c r="M779" t="s">
        <v>1866</v>
      </c>
      <c r="N779">
        <f>2000+RIGHT(Table1[[#This Row],[Release Date]],2)</f>
        <v>2012</v>
      </c>
      <c r="O779">
        <f>_xlfn.MAXIFS(Table1[[#This Row],[Total Shipped]]:Table1[[#This Row],[Total Sales]],Table1[[#This Row],[Total Shipped]]:Table1[[#This Row],[Total Sales]],"&lt;&gt;#N/A")</f>
        <v>0.24</v>
      </c>
      <c r="P779">
        <f>_xlfn.MAXIFS(Table1[[#This Row],[VGChartz Score]:[User Score]],Table1[[#This Row],[VGChartz Score]:[User Score]],"&lt;&gt;#N/A")</f>
        <v>5.9</v>
      </c>
    </row>
    <row r="780" spans="1:16" hidden="1" x14ac:dyDescent="0.2">
      <c r="A780">
        <f t="shared" si="15"/>
        <v>779</v>
      </c>
      <c r="B780">
        <v>79</v>
      </c>
      <c r="C780" t="s">
        <v>138</v>
      </c>
      <c r="D780" t="s">
        <v>645</v>
      </c>
      <c r="E780" t="s">
        <v>1755</v>
      </c>
      <c r="F780" t="s">
        <v>244</v>
      </c>
      <c r="G780" t="e">
        <v>#N/A</v>
      </c>
      <c r="H780">
        <v>7.2</v>
      </c>
      <c r="I780" t="e">
        <v>#N/A</v>
      </c>
      <c r="J780" s="1" t="e">
        <v>#N/A</v>
      </c>
      <c r="K780" s="1">
        <v>0.23</v>
      </c>
      <c r="L780" t="s">
        <v>1758</v>
      </c>
      <c r="M780" t="s">
        <v>353</v>
      </c>
      <c r="N780">
        <f>2000+RIGHT(Table1[[#This Row],[Release Date]],2)</f>
        <v>2012</v>
      </c>
      <c r="O780">
        <f>_xlfn.MAXIFS(Table1[[#This Row],[Total Shipped]]:Table1[[#This Row],[Total Sales]],Table1[[#This Row],[Total Shipped]]:Table1[[#This Row],[Total Sales]],"&lt;&gt;#N/A")</f>
        <v>0.23</v>
      </c>
      <c r="P780">
        <f>_xlfn.MAXIFS(Table1[[#This Row],[VGChartz Score]:[User Score]],Table1[[#This Row],[VGChartz Score]:[User Score]],"&lt;&gt;#N/A")</f>
        <v>7.2</v>
      </c>
    </row>
    <row r="781" spans="1:16" hidden="1" x14ac:dyDescent="0.2">
      <c r="A781">
        <f t="shared" si="15"/>
        <v>780</v>
      </c>
      <c r="B781">
        <v>80</v>
      </c>
      <c r="C781" t="s">
        <v>138</v>
      </c>
      <c r="D781" t="s">
        <v>1867</v>
      </c>
      <c r="E781" t="s">
        <v>1755</v>
      </c>
      <c r="F781" t="s">
        <v>321</v>
      </c>
      <c r="G781" t="e">
        <v>#N/A</v>
      </c>
      <c r="H781" t="e">
        <v>#N/A</v>
      </c>
      <c r="I781" t="e">
        <v>#N/A</v>
      </c>
      <c r="J781" s="2" t="e">
        <v>#N/A</v>
      </c>
      <c r="K781" s="2">
        <v>0.23</v>
      </c>
      <c r="L781" t="s">
        <v>1868</v>
      </c>
      <c r="M781" t="s">
        <v>188</v>
      </c>
      <c r="N781">
        <f>2000+RIGHT(Table1[[#This Row],[Release Date]],2)</f>
        <v>2014</v>
      </c>
      <c r="O781">
        <f>_xlfn.MAXIFS(Table1[[#This Row],[Total Shipped]]:Table1[[#This Row],[Total Sales]],Table1[[#This Row],[Total Shipped]]:Table1[[#This Row],[Total Sales]],"&lt;&gt;#N/A")</f>
        <v>0.23</v>
      </c>
      <c r="P781">
        <f>_xlfn.MAXIFS(Table1[[#This Row],[VGChartz Score]:[User Score]],Table1[[#This Row],[VGChartz Score]:[User Score]],"&lt;&gt;#N/A")</f>
        <v>0</v>
      </c>
    </row>
    <row r="782" spans="1:16" hidden="1" x14ac:dyDescent="0.2">
      <c r="A782">
        <f t="shared" si="15"/>
        <v>781</v>
      </c>
      <c r="B782">
        <v>81</v>
      </c>
      <c r="C782" t="s">
        <v>138</v>
      </c>
      <c r="D782" t="s">
        <v>1241</v>
      </c>
      <c r="E782" t="s">
        <v>1755</v>
      </c>
      <c r="F782" t="s">
        <v>69</v>
      </c>
      <c r="G782">
        <v>7.8</v>
      </c>
      <c r="H782">
        <v>7.5</v>
      </c>
      <c r="I782" t="e">
        <v>#N/A</v>
      </c>
      <c r="J782" s="1" t="e">
        <v>#N/A</v>
      </c>
      <c r="K782" s="1">
        <v>0.22</v>
      </c>
      <c r="L782" t="s">
        <v>1869</v>
      </c>
      <c r="M782" t="s">
        <v>90</v>
      </c>
      <c r="N782">
        <f>2000+RIGHT(Table1[[#This Row],[Release Date]],2)</f>
        <v>2013</v>
      </c>
      <c r="O782">
        <f>_xlfn.MAXIFS(Table1[[#This Row],[Total Shipped]]:Table1[[#This Row],[Total Sales]],Table1[[#This Row],[Total Shipped]]:Table1[[#This Row],[Total Sales]],"&lt;&gt;#N/A")</f>
        <v>0.22</v>
      </c>
      <c r="P782">
        <f>_xlfn.MAXIFS(Table1[[#This Row],[VGChartz Score]:[User Score]],Table1[[#This Row],[VGChartz Score]:[User Score]],"&lt;&gt;#N/A")</f>
        <v>7.8</v>
      </c>
    </row>
    <row r="783" spans="1:16" hidden="1" x14ac:dyDescent="0.2">
      <c r="A783">
        <f t="shared" si="15"/>
        <v>782</v>
      </c>
      <c r="B783">
        <v>82</v>
      </c>
      <c r="C783" t="s">
        <v>138</v>
      </c>
      <c r="D783" t="s">
        <v>1870</v>
      </c>
      <c r="E783" t="s">
        <v>1755</v>
      </c>
      <c r="F783" t="s">
        <v>979</v>
      </c>
      <c r="G783" t="e">
        <v>#N/A</v>
      </c>
      <c r="H783" t="e">
        <v>#N/A</v>
      </c>
      <c r="I783" t="e">
        <v>#N/A</v>
      </c>
      <c r="J783" s="2" t="e">
        <v>#N/A</v>
      </c>
      <c r="K783" s="2">
        <v>0.21</v>
      </c>
      <c r="L783" t="s">
        <v>1871</v>
      </c>
      <c r="M783" t="s">
        <v>188</v>
      </c>
      <c r="N783">
        <f>2000+RIGHT(Table1[[#This Row],[Release Date]],2)</f>
        <v>2013</v>
      </c>
      <c r="O783">
        <f>_xlfn.MAXIFS(Table1[[#This Row],[Total Shipped]]:Table1[[#This Row],[Total Sales]],Table1[[#This Row],[Total Shipped]]:Table1[[#This Row],[Total Sales]],"&lt;&gt;#N/A")</f>
        <v>0.21</v>
      </c>
      <c r="P783">
        <f>_xlfn.MAXIFS(Table1[[#This Row],[VGChartz Score]:[User Score]],Table1[[#This Row],[VGChartz Score]:[User Score]],"&lt;&gt;#N/A")</f>
        <v>0</v>
      </c>
    </row>
    <row r="784" spans="1:16" hidden="1" x14ac:dyDescent="0.2">
      <c r="A784">
        <f t="shared" si="15"/>
        <v>783</v>
      </c>
      <c r="B784">
        <v>83</v>
      </c>
      <c r="C784" t="s">
        <v>138</v>
      </c>
      <c r="D784" t="s">
        <v>1872</v>
      </c>
      <c r="E784" t="s">
        <v>1755</v>
      </c>
      <c r="F784" t="s">
        <v>321</v>
      </c>
      <c r="G784" t="e">
        <v>#N/A</v>
      </c>
      <c r="H784" t="e">
        <v>#N/A</v>
      </c>
      <c r="I784" t="e">
        <v>#N/A</v>
      </c>
      <c r="J784" s="1" t="e">
        <v>#N/A</v>
      </c>
      <c r="K784" s="1">
        <v>0.2</v>
      </c>
      <c r="L784" t="s">
        <v>1500</v>
      </c>
      <c r="M784" t="s">
        <v>1333</v>
      </c>
      <c r="N784">
        <f>2000+RIGHT(Table1[[#This Row],[Release Date]],2)</f>
        <v>2013</v>
      </c>
      <c r="O784">
        <f>_xlfn.MAXIFS(Table1[[#This Row],[Total Shipped]]:Table1[[#This Row],[Total Sales]],Table1[[#This Row],[Total Shipped]]:Table1[[#This Row],[Total Sales]],"&lt;&gt;#N/A")</f>
        <v>0.2</v>
      </c>
      <c r="P784">
        <f>_xlfn.MAXIFS(Table1[[#This Row],[VGChartz Score]:[User Score]],Table1[[#This Row],[VGChartz Score]:[User Score]],"&lt;&gt;#N/A")</f>
        <v>0</v>
      </c>
    </row>
    <row r="785" spans="1:16" hidden="1" x14ac:dyDescent="0.2">
      <c r="A785">
        <f t="shared" si="15"/>
        <v>784</v>
      </c>
      <c r="B785">
        <v>84</v>
      </c>
      <c r="C785" t="s">
        <v>138</v>
      </c>
      <c r="D785" t="s">
        <v>1873</v>
      </c>
      <c r="E785" t="s">
        <v>1755</v>
      </c>
      <c r="F785" t="s">
        <v>175</v>
      </c>
      <c r="G785" t="e">
        <v>#N/A</v>
      </c>
      <c r="H785" t="e">
        <v>#N/A</v>
      </c>
      <c r="I785" t="e">
        <v>#N/A</v>
      </c>
      <c r="J785" s="2" t="e">
        <v>#N/A</v>
      </c>
      <c r="K785" s="2">
        <v>0.19</v>
      </c>
      <c r="L785" t="s">
        <v>1874</v>
      </c>
      <c r="M785" t="s">
        <v>1875</v>
      </c>
      <c r="N785">
        <f>2000+RIGHT(Table1[[#This Row],[Release Date]],2)</f>
        <v>2013</v>
      </c>
      <c r="O785">
        <f>_xlfn.MAXIFS(Table1[[#This Row],[Total Shipped]]:Table1[[#This Row],[Total Sales]],Table1[[#This Row],[Total Shipped]]:Table1[[#This Row],[Total Sales]],"&lt;&gt;#N/A")</f>
        <v>0.19</v>
      </c>
      <c r="P785">
        <f>_xlfn.MAXIFS(Table1[[#This Row],[VGChartz Score]:[User Score]],Table1[[#This Row],[VGChartz Score]:[User Score]],"&lt;&gt;#N/A")</f>
        <v>0</v>
      </c>
    </row>
    <row r="786" spans="1:16" hidden="1" x14ac:dyDescent="0.2">
      <c r="A786">
        <f t="shared" si="15"/>
        <v>785</v>
      </c>
      <c r="B786">
        <v>85</v>
      </c>
      <c r="C786" t="s">
        <v>138</v>
      </c>
      <c r="D786" t="s">
        <v>1876</v>
      </c>
      <c r="E786" t="s">
        <v>1755</v>
      </c>
      <c r="F786" t="s">
        <v>175</v>
      </c>
      <c r="G786" t="e">
        <v>#N/A</v>
      </c>
      <c r="H786">
        <v>8.1</v>
      </c>
      <c r="I786" t="e">
        <v>#N/A</v>
      </c>
      <c r="J786" s="1" t="e">
        <v>#N/A</v>
      </c>
      <c r="K786" s="1">
        <v>0.19</v>
      </c>
      <c r="L786" t="s">
        <v>1758</v>
      </c>
      <c r="M786" t="s">
        <v>1877</v>
      </c>
      <c r="N786">
        <f>2000+RIGHT(Table1[[#This Row],[Release Date]],2)</f>
        <v>2012</v>
      </c>
      <c r="O786">
        <f>_xlfn.MAXIFS(Table1[[#This Row],[Total Shipped]]:Table1[[#This Row],[Total Sales]],Table1[[#This Row],[Total Shipped]]:Table1[[#This Row],[Total Sales]],"&lt;&gt;#N/A")</f>
        <v>0.19</v>
      </c>
      <c r="P786">
        <f>_xlfn.MAXIFS(Table1[[#This Row],[VGChartz Score]:[User Score]],Table1[[#This Row],[VGChartz Score]:[User Score]],"&lt;&gt;#N/A")</f>
        <v>8.1</v>
      </c>
    </row>
    <row r="787" spans="1:16" hidden="1" x14ac:dyDescent="0.2">
      <c r="A787">
        <f t="shared" si="15"/>
        <v>786</v>
      </c>
      <c r="B787">
        <v>86</v>
      </c>
      <c r="C787" t="s">
        <v>138</v>
      </c>
      <c r="D787" t="s">
        <v>1878</v>
      </c>
      <c r="E787" t="s">
        <v>1755</v>
      </c>
      <c r="F787" t="s">
        <v>1</v>
      </c>
      <c r="G787" t="e">
        <v>#N/A</v>
      </c>
      <c r="H787">
        <v>6.5</v>
      </c>
      <c r="I787" t="e">
        <v>#N/A</v>
      </c>
      <c r="J787" s="2" t="e">
        <v>#N/A</v>
      </c>
      <c r="K787" s="2">
        <v>0.19</v>
      </c>
      <c r="L787" t="s">
        <v>1758</v>
      </c>
      <c r="M787" t="s">
        <v>1761</v>
      </c>
      <c r="N787">
        <f>2000+RIGHT(Table1[[#This Row],[Release Date]],2)</f>
        <v>2012</v>
      </c>
      <c r="O787">
        <f>_xlfn.MAXIFS(Table1[[#This Row],[Total Shipped]]:Table1[[#This Row],[Total Sales]],Table1[[#This Row],[Total Shipped]]:Table1[[#This Row],[Total Sales]],"&lt;&gt;#N/A")</f>
        <v>0.19</v>
      </c>
      <c r="P787">
        <f>_xlfn.MAXIFS(Table1[[#This Row],[VGChartz Score]:[User Score]],Table1[[#This Row],[VGChartz Score]:[User Score]],"&lt;&gt;#N/A")</f>
        <v>6.5</v>
      </c>
    </row>
    <row r="788" spans="1:16" hidden="1" x14ac:dyDescent="0.2">
      <c r="A788">
        <f t="shared" si="15"/>
        <v>787</v>
      </c>
      <c r="B788">
        <v>87</v>
      </c>
      <c r="C788" t="s">
        <v>138</v>
      </c>
      <c r="D788" t="s">
        <v>1879</v>
      </c>
      <c r="E788" t="s">
        <v>1755</v>
      </c>
      <c r="F788" t="s">
        <v>151</v>
      </c>
      <c r="G788" t="e">
        <v>#N/A</v>
      </c>
      <c r="H788" t="e">
        <v>#N/A</v>
      </c>
      <c r="I788" t="e">
        <v>#N/A</v>
      </c>
      <c r="J788" s="1" t="e">
        <v>#N/A</v>
      </c>
      <c r="K788" s="1">
        <v>0.17</v>
      </c>
      <c r="L788" t="s">
        <v>1880</v>
      </c>
      <c r="M788" t="s">
        <v>550</v>
      </c>
      <c r="N788">
        <f>2000+RIGHT(Table1[[#This Row],[Release Date]],2)</f>
        <v>2017</v>
      </c>
      <c r="O788">
        <f>_xlfn.MAXIFS(Table1[[#This Row],[Total Shipped]]:Table1[[#This Row],[Total Sales]],Table1[[#This Row],[Total Shipped]]:Table1[[#This Row],[Total Sales]],"&lt;&gt;#N/A")</f>
        <v>0.17</v>
      </c>
      <c r="P788">
        <f>_xlfn.MAXIFS(Table1[[#This Row],[VGChartz Score]:[User Score]],Table1[[#This Row],[VGChartz Score]:[User Score]],"&lt;&gt;#N/A")</f>
        <v>0</v>
      </c>
    </row>
    <row r="789" spans="1:16" hidden="1" x14ac:dyDescent="0.2">
      <c r="A789">
        <f t="shared" si="15"/>
        <v>788</v>
      </c>
      <c r="B789">
        <v>88</v>
      </c>
      <c r="C789" t="s">
        <v>138</v>
      </c>
      <c r="D789" t="s">
        <v>1881</v>
      </c>
      <c r="E789" t="s">
        <v>1755</v>
      </c>
      <c r="F789" t="s">
        <v>661</v>
      </c>
      <c r="G789" t="e">
        <v>#N/A</v>
      </c>
      <c r="H789">
        <v>8.1999999999999993</v>
      </c>
      <c r="I789" t="e">
        <v>#N/A</v>
      </c>
      <c r="J789" s="2" t="e">
        <v>#N/A</v>
      </c>
      <c r="K789" s="2">
        <v>0.16</v>
      </c>
      <c r="L789" t="s">
        <v>1758</v>
      </c>
      <c r="M789" t="s">
        <v>91</v>
      </c>
      <c r="N789">
        <f>2000+RIGHT(Table1[[#This Row],[Release Date]],2)</f>
        <v>2012</v>
      </c>
      <c r="O789">
        <f>_xlfn.MAXIFS(Table1[[#This Row],[Total Shipped]]:Table1[[#This Row],[Total Sales]],Table1[[#This Row],[Total Shipped]]:Table1[[#This Row],[Total Sales]],"&lt;&gt;#N/A")</f>
        <v>0.16</v>
      </c>
      <c r="P789">
        <f>_xlfn.MAXIFS(Table1[[#This Row],[VGChartz Score]:[User Score]],Table1[[#This Row],[VGChartz Score]:[User Score]],"&lt;&gt;#N/A")</f>
        <v>8.1999999999999993</v>
      </c>
    </row>
    <row r="790" spans="1:16" hidden="1" x14ac:dyDescent="0.2">
      <c r="A790">
        <f t="shared" si="15"/>
        <v>789</v>
      </c>
      <c r="B790">
        <v>89</v>
      </c>
      <c r="C790" t="s">
        <v>138</v>
      </c>
      <c r="D790" t="s">
        <v>1882</v>
      </c>
      <c r="E790" t="s">
        <v>1755</v>
      </c>
      <c r="F790" t="s">
        <v>151</v>
      </c>
      <c r="G790" t="e">
        <v>#N/A</v>
      </c>
      <c r="H790" t="e">
        <v>#N/A</v>
      </c>
      <c r="I790" t="e">
        <v>#N/A</v>
      </c>
      <c r="J790" s="1" t="e">
        <v>#N/A</v>
      </c>
      <c r="K790" s="1">
        <v>0.15</v>
      </c>
      <c r="L790" t="s">
        <v>1758</v>
      </c>
      <c r="M790" t="s">
        <v>1866</v>
      </c>
      <c r="N790">
        <f>2000+RIGHT(Table1[[#This Row],[Release Date]],2)</f>
        <v>2012</v>
      </c>
      <c r="O790">
        <f>_xlfn.MAXIFS(Table1[[#This Row],[Total Shipped]]:Table1[[#This Row],[Total Sales]],Table1[[#This Row],[Total Shipped]]:Table1[[#This Row],[Total Sales]],"&lt;&gt;#N/A")</f>
        <v>0.15</v>
      </c>
      <c r="P790">
        <f>_xlfn.MAXIFS(Table1[[#This Row],[VGChartz Score]:[User Score]],Table1[[#This Row],[VGChartz Score]:[User Score]],"&lt;&gt;#N/A")</f>
        <v>0</v>
      </c>
    </row>
    <row r="791" spans="1:16" hidden="1" x14ac:dyDescent="0.2">
      <c r="A791">
        <f t="shared" si="15"/>
        <v>790</v>
      </c>
      <c r="B791">
        <v>90</v>
      </c>
      <c r="C791" t="s">
        <v>138</v>
      </c>
      <c r="D791" t="s">
        <v>1883</v>
      </c>
      <c r="E791" t="s">
        <v>1755</v>
      </c>
      <c r="F791" t="s">
        <v>1884</v>
      </c>
      <c r="G791" t="e">
        <v>#N/A</v>
      </c>
      <c r="H791">
        <v>7</v>
      </c>
      <c r="I791" t="e">
        <v>#N/A</v>
      </c>
      <c r="J791" s="2" t="e">
        <v>#N/A</v>
      </c>
      <c r="K791" s="2">
        <v>0.14000000000000001</v>
      </c>
      <c r="L791" t="s">
        <v>339</v>
      </c>
      <c r="M791" t="s">
        <v>550</v>
      </c>
      <c r="N791">
        <f>2000+RIGHT(Table1[[#This Row],[Release Date]],2)</f>
        <v>2015</v>
      </c>
      <c r="O791">
        <f>_xlfn.MAXIFS(Table1[[#This Row],[Total Shipped]]:Table1[[#This Row],[Total Sales]],Table1[[#This Row],[Total Shipped]]:Table1[[#This Row],[Total Sales]],"&lt;&gt;#N/A")</f>
        <v>0.14000000000000001</v>
      </c>
      <c r="P791">
        <f>_xlfn.MAXIFS(Table1[[#This Row],[VGChartz Score]:[User Score]],Table1[[#This Row],[VGChartz Score]:[User Score]],"&lt;&gt;#N/A")</f>
        <v>7</v>
      </c>
    </row>
    <row r="792" spans="1:16" hidden="1" x14ac:dyDescent="0.2">
      <c r="A792">
        <f t="shared" si="15"/>
        <v>791</v>
      </c>
      <c r="B792">
        <v>91</v>
      </c>
      <c r="C792" t="s">
        <v>138</v>
      </c>
      <c r="D792" t="s">
        <v>651</v>
      </c>
      <c r="E792" t="s">
        <v>1755</v>
      </c>
      <c r="F792" t="s">
        <v>431</v>
      </c>
      <c r="G792" t="e">
        <v>#N/A</v>
      </c>
      <c r="H792">
        <v>7.6</v>
      </c>
      <c r="I792" t="e">
        <v>#N/A</v>
      </c>
      <c r="J792" s="1" t="e">
        <v>#N/A</v>
      </c>
      <c r="K792" s="1">
        <v>0.14000000000000001</v>
      </c>
      <c r="L792" t="s">
        <v>1758</v>
      </c>
      <c r="M792" t="s">
        <v>353</v>
      </c>
      <c r="N792">
        <f>2000+RIGHT(Table1[[#This Row],[Release Date]],2)</f>
        <v>2012</v>
      </c>
      <c r="O792">
        <f>_xlfn.MAXIFS(Table1[[#This Row],[Total Shipped]]:Table1[[#This Row],[Total Sales]],Table1[[#This Row],[Total Shipped]]:Table1[[#This Row],[Total Sales]],"&lt;&gt;#N/A")</f>
        <v>0.14000000000000001</v>
      </c>
      <c r="P792">
        <f>_xlfn.MAXIFS(Table1[[#This Row],[VGChartz Score]:[User Score]],Table1[[#This Row],[VGChartz Score]:[User Score]],"&lt;&gt;#N/A")</f>
        <v>7.6</v>
      </c>
    </row>
    <row r="793" spans="1:16" hidden="1" x14ac:dyDescent="0.2">
      <c r="A793">
        <f t="shared" si="15"/>
        <v>792</v>
      </c>
      <c r="B793">
        <v>92</v>
      </c>
      <c r="C793" t="s">
        <v>138</v>
      </c>
      <c r="D793" t="s">
        <v>1885</v>
      </c>
      <c r="E793" t="s">
        <v>1755</v>
      </c>
      <c r="F793" t="s">
        <v>233</v>
      </c>
      <c r="G793" t="e">
        <v>#N/A</v>
      </c>
      <c r="H793" t="e">
        <v>#N/A</v>
      </c>
      <c r="I793" t="e">
        <v>#N/A</v>
      </c>
      <c r="J793" s="2" t="e">
        <v>#N/A</v>
      </c>
      <c r="K793" s="2">
        <v>0.13</v>
      </c>
      <c r="L793" t="s">
        <v>1758</v>
      </c>
      <c r="M793" t="s">
        <v>1886</v>
      </c>
      <c r="N793">
        <f>2000+RIGHT(Table1[[#This Row],[Release Date]],2)</f>
        <v>2012</v>
      </c>
      <c r="O793">
        <f>_xlfn.MAXIFS(Table1[[#This Row],[Total Shipped]]:Table1[[#This Row],[Total Sales]],Table1[[#This Row],[Total Shipped]]:Table1[[#This Row],[Total Sales]],"&lt;&gt;#N/A")</f>
        <v>0.13</v>
      </c>
      <c r="P793">
        <f>_xlfn.MAXIFS(Table1[[#This Row],[VGChartz Score]:[User Score]],Table1[[#This Row],[VGChartz Score]:[User Score]],"&lt;&gt;#N/A")</f>
        <v>0</v>
      </c>
    </row>
    <row r="794" spans="1:16" hidden="1" x14ac:dyDescent="0.2">
      <c r="A794">
        <f t="shared" si="15"/>
        <v>793</v>
      </c>
      <c r="B794">
        <v>93</v>
      </c>
      <c r="C794" t="s">
        <v>138</v>
      </c>
      <c r="D794" t="s">
        <v>1887</v>
      </c>
      <c r="E794" t="s">
        <v>1755</v>
      </c>
      <c r="F794" t="s">
        <v>321</v>
      </c>
      <c r="G794" t="e">
        <v>#N/A</v>
      </c>
      <c r="H794" t="e">
        <v>#N/A</v>
      </c>
      <c r="I794" t="e">
        <v>#N/A</v>
      </c>
      <c r="J794" s="1" t="e">
        <v>#N/A</v>
      </c>
      <c r="K794" s="1">
        <v>0.13</v>
      </c>
      <c r="L794" t="s">
        <v>1758</v>
      </c>
      <c r="M794" t="s">
        <v>1846</v>
      </c>
      <c r="N794">
        <f>2000+RIGHT(Table1[[#This Row],[Release Date]],2)</f>
        <v>2012</v>
      </c>
      <c r="O794">
        <f>_xlfn.MAXIFS(Table1[[#This Row],[Total Shipped]]:Table1[[#This Row],[Total Sales]],Table1[[#This Row],[Total Shipped]]:Table1[[#This Row],[Total Sales]],"&lt;&gt;#N/A")</f>
        <v>0.13</v>
      </c>
      <c r="P794">
        <f>_xlfn.MAXIFS(Table1[[#This Row],[VGChartz Score]:[User Score]],Table1[[#This Row],[VGChartz Score]:[User Score]],"&lt;&gt;#N/A")</f>
        <v>0</v>
      </c>
    </row>
    <row r="795" spans="1:16" hidden="1" x14ac:dyDescent="0.2">
      <c r="A795">
        <f t="shared" si="15"/>
        <v>794</v>
      </c>
      <c r="B795">
        <v>94</v>
      </c>
      <c r="C795" t="s">
        <v>138</v>
      </c>
      <c r="D795" t="s">
        <v>406</v>
      </c>
      <c r="E795" t="s">
        <v>1755</v>
      </c>
      <c r="F795" t="s">
        <v>151</v>
      </c>
      <c r="G795" t="e">
        <v>#N/A</v>
      </c>
      <c r="H795" t="e">
        <v>#N/A</v>
      </c>
      <c r="I795" t="e">
        <v>#N/A</v>
      </c>
      <c r="J795" s="2" t="e">
        <v>#N/A</v>
      </c>
      <c r="K795" s="2">
        <v>0.13</v>
      </c>
      <c r="L795" t="s">
        <v>298</v>
      </c>
      <c r="M795" t="s">
        <v>188</v>
      </c>
      <c r="N795">
        <f>2000+RIGHT(Table1[[#This Row],[Release Date]],2)</f>
        <v>2014</v>
      </c>
      <c r="O795">
        <f>_xlfn.MAXIFS(Table1[[#This Row],[Total Shipped]]:Table1[[#This Row],[Total Sales]],Table1[[#This Row],[Total Shipped]]:Table1[[#This Row],[Total Sales]],"&lt;&gt;#N/A")</f>
        <v>0.13</v>
      </c>
      <c r="P795">
        <f>_xlfn.MAXIFS(Table1[[#This Row],[VGChartz Score]:[User Score]],Table1[[#This Row],[VGChartz Score]:[User Score]],"&lt;&gt;#N/A")</f>
        <v>0</v>
      </c>
    </row>
    <row r="796" spans="1:16" hidden="1" x14ac:dyDescent="0.2">
      <c r="A796">
        <f t="shared" si="15"/>
        <v>795</v>
      </c>
      <c r="B796">
        <v>95</v>
      </c>
      <c r="C796" t="s">
        <v>138</v>
      </c>
      <c r="D796" t="s">
        <v>1888</v>
      </c>
      <c r="E796" t="s">
        <v>1755</v>
      </c>
      <c r="F796" t="s">
        <v>233</v>
      </c>
      <c r="G796" t="e">
        <v>#N/A</v>
      </c>
      <c r="H796" t="e">
        <v>#N/A</v>
      </c>
      <c r="I796" t="e">
        <v>#N/A</v>
      </c>
      <c r="J796" s="1" t="e">
        <v>#N/A</v>
      </c>
      <c r="K796" s="1">
        <v>0.13</v>
      </c>
      <c r="L796" t="s">
        <v>1758</v>
      </c>
      <c r="M796" t="s">
        <v>90</v>
      </c>
      <c r="N796">
        <f>2000+RIGHT(Table1[[#This Row],[Release Date]],2)</f>
        <v>2012</v>
      </c>
      <c r="O796">
        <f>_xlfn.MAXIFS(Table1[[#This Row],[Total Shipped]]:Table1[[#This Row],[Total Sales]],Table1[[#This Row],[Total Shipped]]:Table1[[#This Row],[Total Sales]],"&lt;&gt;#N/A")</f>
        <v>0.13</v>
      </c>
      <c r="P796">
        <f>_xlfn.MAXIFS(Table1[[#This Row],[VGChartz Score]:[User Score]],Table1[[#This Row],[VGChartz Score]:[User Score]],"&lt;&gt;#N/A")</f>
        <v>0</v>
      </c>
    </row>
    <row r="797" spans="1:16" hidden="1" x14ac:dyDescent="0.2">
      <c r="A797">
        <f t="shared" si="15"/>
        <v>796</v>
      </c>
      <c r="B797">
        <v>96</v>
      </c>
      <c r="C797" t="s">
        <v>138</v>
      </c>
      <c r="D797" t="s">
        <v>1889</v>
      </c>
      <c r="E797" t="s">
        <v>1755</v>
      </c>
      <c r="F797" t="s">
        <v>233</v>
      </c>
      <c r="G797" t="e">
        <v>#N/A</v>
      </c>
      <c r="H797">
        <v>4.2</v>
      </c>
      <c r="I797" t="e">
        <v>#N/A</v>
      </c>
      <c r="J797" s="2" t="e">
        <v>#N/A</v>
      </c>
      <c r="K797" s="2">
        <v>0.13</v>
      </c>
      <c r="L797" t="s">
        <v>1536</v>
      </c>
      <c r="M797" t="s">
        <v>90</v>
      </c>
      <c r="N797">
        <f>2000+RIGHT(Table1[[#This Row],[Release Date]],2)</f>
        <v>2012</v>
      </c>
      <c r="O797">
        <f>_xlfn.MAXIFS(Table1[[#This Row],[Total Shipped]]:Table1[[#This Row],[Total Sales]],Table1[[#This Row],[Total Shipped]]:Table1[[#This Row],[Total Sales]],"&lt;&gt;#N/A")</f>
        <v>0.13</v>
      </c>
      <c r="P797">
        <f>_xlfn.MAXIFS(Table1[[#This Row],[VGChartz Score]:[User Score]],Table1[[#This Row],[VGChartz Score]:[User Score]],"&lt;&gt;#N/A")</f>
        <v>4.2</v>
      </c>
    </row>
    <row r="798" spans="1:16" hidden="1" x14ac:dyDescent="0.2">
      <c r="A798">
        <f t="shared" si="15"/>
        <v>797</v>
      </c>
      <c r="B798">
        <v>97</v>
      </c>
      <c r="C798" t="s">
        <v>138</v>
      </c>
      <c r="D798" t="s">
        <v>1890</v>
      </c>
      <c r="E798" t="s">
        <v>1755</v>
      </c>
      <c r="F798" t="s">
        <v>151</v>
      </c>
      <c r="G798" t="e">
        <v>#N/A</v>
      </c>
      <c r="H798">
        <v>9.1999999999999993</v>
      </c>
      <c r="I798" t="e">
        <v>#N/A</v>
      </c>
      <c r="J798" s="1" t="e">
        <v>#N/A</v>
      </c>
      <c r="K798" s="1">
        <v>0.13</v>
      </c>
      <c r="L798" t="s">
        <v>1891</v>
      </c>
      <c r="M798" t="s">
        <v>1810</v>
      </c>
      <c r="N798">
        <f>2000+RIGHT(Table1[[#This Row],[Release Date]],2)</f>
        <v>2013</v>
      </c>
      <c r="O798">
        <f>_xlfn.MAXIFS(Table1[[#This Row],[Total Shipped]]:Table1[[#This Row],[Total Sales]],Table1[[#This Row],[Total Shipped]]:Table1[[#This Row],[Total Sales]],"&lt;&gt;#N/A")</f>
        <v>0.13</v>
      </c>
      <c r="P798">
        <f>_xlfn.MAXIFS(Table1[[#This Row],[VGChartz Score]:[User Score]],Table1[[#This Row],[VGChartz Score]:[User Score]],"&lt;&gt;#N/A")</f>
        <v>9.1999999999999993</v>
      </c>
    </row>
    <row r="799" spans="1:16" hidden="1" x14ac:dyDescent="0.2">
      <c r="A799">
        <f t="shared" si="15"/>
        <v>798</v>
      </c>
      <c r="B799">
        <v>98</v>
      </c>
      <c r="C799" t="s">
        <v>138</v>
      </c>
      <c r="D799" t="s">
        <v>1892</v>
      </c>
      <c r="E799" t="s">
        <v>1755</v>
      </c>
      <c r="F799" t="s">
        <v>175</v>
      </c>
      <c r="G799" t="e">
        <v>#N/A</v>
      </c>
      <c r="H799" t="e">
        <v>#N/A</v>
      </c>
      <c r="I799" t="e">
        <v>#N/A</v>
      </c>
      <c r="J799" s="2" t="e">
        <v>#N/A</v>
      </c>
      <c r="K799" s="2">
        <v>0.12</v>
      </c>
      <c r="L799" t="s">
        <v>1893</v>
      </c>
      <c r="M799" t="e">
        <v>#N/A</v>
      </c>
      <c r="N799">
        <f>2000+RIGHT(Table1[[#This Row],[Release Date]],2)</f>
        <v>2014</v>
      </c>
      <c r="O799">
        <f>_xlfn.MAXIFS(Table1[[#This Row],[Total Shipped]]:Table1[[#This Row],[Total Sales]],Table1[[#This Row],[Total Shipped]]:Table1[[#This Row],[Total Sales]],"&lt;&gt;#N/A")</f>
        <v>0.12</v>
      </c>
      <c r="P799">
        <f>_xlfn.MAXIFS(Table1[[#This Row],[VGChartz Score]:[User Score]],Table1[[#This Row],[VGChartz Score]:[User Score]],"&lt;&gt;#N/A")</f>
        <v>0</v>
      </c>
    </row>
    <row r="800" spans="1:16" hidden="1" x14ac:dyDescent="0.2">
      <c r="A800">
        <f t="shared" si="15"/>
        <v>799</v>
      </c>
      <c r="B800">
        <v>99</v>
      </c>
      <c r="C800" t="s">
        <v>138</v>
      </c>
      <c r="D800" t="s">
        <v>1894</v>
      </c>
      <c r="E800" t="s">
        <v>1755</v>
      </c>
      <c r="F800" t="s">
        <v>233</v>
      </c>
      <c r="G800" t="e">
        <v>#N/A</v>
      </c>
      <c r="H800" t="e">
        <v>#N/A</v>
      </c>
      <c r="I800" t="e">
        <v>#N/A</v>
      </c>
      <c r="J800" s="1" t="e">
        <v>#N/A</v>
      </c>
      <c r="K800" s="1">
        <v>0.12</v>
      </c>
      <c r="L800" t="s">
        <v>1799</v>
      </c>
      <c r="M800" t="s">
        <v>90</v>
      </c>
      <c r="N800">
        <f>2000+RIGHT(Table1[[#This Row],[Release Date]],2)</f>
        <v>2014</v>
      </c>
      <c r="O800">
        <f>_xlfn.MAXIFS(Table1[[#This Row],[Total Shipped]]:Table1[[#This Row],[Total Sales]],Table1[[#This Row],[Total Shipped]]:Table1[[#This Row],[Total Sales]],"&lt;&gt;#N/A")</f>
        <v>0.12</v>
      </c>
      <c r="P800">
        <f>_xlfn.MAXIFS(Table1[[#This Row],[VGChartz Score]:[User Score]],Table1[[#This Row],[VGChartz Score]:[User Score]],"&lt;&gt;#N/A")</f>
        <v>0</v>
      </c>
    </row>
    <row r="801" spans="1:16" hidden="1" x14ac:dyDescent="0.2">
      <c r="A801">
        <f t="shared" si="15"/>
        <v>800</v>
      </c>
      <c r="B801">
        <v>100</v>
      </c>
      <c r="C801" t="s">
        <v>138</v>
      </c>
      <c r="D801" t="s">
        <v>1895</v>
      </c>
      <c r="E801" t="s">
        <v>1755</v>
      </c>
      <c r="F801" t="s">
        <v>151</v>
      </c>
      <c r="G801" t="e">
        <v>#N/A</v>
      </c>
      <c r="H801" t="e">
        <v>#N/A</v>
      </c>
      <c r="I801" t="e">
        <v>#N/A</v>
      </c>
      <c r="J801" s="2" t="e">
        <v>#N/A</v>
      </c>
      <c r="K801" s="2">
        <v>0.12</v>
      </c>
      <c r="L801" t="s">
        <v>614</v>
      </c>
      <c r="M801" t="s">
        <v>123</v>
      </c>
      <c r="N801">
        <f>2000+RIGHT(Table1[[#This Row],[Release Date]],2)</f>
        <v>2012</v>
      </c>
      <c r="O801">
        <f>_xlfn.MAXIFS(Table1[[#This Row],[Total Shipped]]:Table1[[#This Row],[Total Sales]],Table1[[#This Row],[Total Shipped]]:Table1[[#This Row],[Total Sales]],"&lt;&gt;#N/A")</f>
        <v>0.12</v>
      </c>
      <c r="P801">
        <f>_xlfn.MAXIFS(Table1[[#This Row],[VGChartz Score]:[User Score]],Table1[[#This Row],[VGChartz Score]:[User Score]],"&lt;&gt;#N/A")</f>
        <v>0</v>
      </c>
    </row>
    <row r="802" spans="1:16" hidden="1" x14ac:dyDescent="0.2">
      <c r="A802">
        <f t="shared" si="15"/>
        <v>801</v>
      </c>
      <c r="B802">
        <v>1</v>
      </c>
      <c r="C802" t="s">
        <v>138</v>
      </c>
      <c r="D802" t="s">
        <v>0</v>
      </c>
      <c r="E802" t="s">
        <v>139</v>
      </c>
      <c r="F802" t="s">
        <v>1</v>
      </c>
      <c r="G802" t="e">
        <v>#N/A</v>
      </c>
      <c r="H802">
        <v>9.3000000000000007</v>
      </c>
      <c r="I802" t="e">
        <v>#N/A</v>
      </c>
      <c r="J802" s="1">
        <v>68.86</v>
      </c>
      <c r="K802" s="1" t="e">
        <v>#N/A</v>
      </c>
      <c r="L802" t="s">
        <v>2</v>
      </c>
      <c r="M802" t="s">
        <v>3</v>
      </c>
      <c r="N802">
        <f>2000+RIGHT(Table1[[#This Row],[Release Date]],2)</f>
        <v>2017</v>
      </c>
      <c r="O802">
        <f>_xlfn.MAXIFS(Table1[[#This Row],[Total Shipped]]:Table1[[#This Row],[Total Sales]],Table1[[#This Row],[Total Shipped]]:Table1[[#This Row],[Total Sales]],"&lt;&gt;#N/A")</f>
        <v>68.86</v>
      </c>
      <c r="P802">
        <f>_xlfn.MAXIFS(Table1[[#This Row],[VGChartz Score]:[User Score]],Table1[[#This Row],[VGChartz Score]:[User Score]],"&lt;&gt;#N/A")</f>
        <v>9.3000000000000007</v>
      </c>
    </row>
    <row r="803" spans="1:16" hidden="1" x14ac:dyDescent="0.2">
      <c r="A803">
        <f t="shared" si="15"/>
        <v>802</v>
      </c>
      <c r="B803">
        <v>2</v>
      </c>
      <c r="C803" t="s">
        <v>138</v>
      </c>
      <c r="D803" t="s">
        <v>4</v>
      </c>
      <c r="E803" t="s">
        <v>139</v>
      </c>
      <c r="F803" t="s">
        <v>1</v>
      </c>
      <c r="G803">
        <v>8</v>
      </c>
      <c r="H803" t="e">
        <v>#N/A</v>
      </c>
      <c r="I803" t="e">
        <v>#N/A</v>
      </c>
      <c r="J803" s="2">
        <v>48.19</v>
      </c>
      <c r="K803" s="2" t="e">
        <v>#N/A</v>
      </c>
      <c r="L803" t="s">
        <v>5</v>
      </c>
      <c r="M803" t="s">
        <v>6</v>
      </c>
      <c r="N803">
        <f>2000+RIGHT(Table1[[#This Row],[Release Date]],2)</f>
        <v>2020</v>
      </c>
      <c r="O803">
        <f>_xlfn.MAXIFS(Table1[[#This Row],[Total Shipped]]:Table1[[#This Row],[Total Sales]],Table1[[#This Row],[Total Shipped]]:Table1[[#This Row],[Total Sales]],"&lt;&gt;#N/A")</f>
        <v>48.19</v>
      </c>
      <c r="P803">
        <f>_xlfn.MAXIFS(Table1[[#This Row],[VGChartz Score]:[User Score]],Table1[[#This Row],[VGChartz Score]:[User Score]],"&lt;&gt;#N/A")</f>
        <v>8</v>
      </c>
    </row>
    <row r="804" spans="1:16" hidden="1" x14ac:dyDescent="0.2">
      <c r="A804">
        <f t="shared" si="15"/>
        <v>803</v>
      </c>
      <c r="B804">
        <v>3</v>
      </c>
      <c r="C804" t="s">
        <v>138</v>
      </c>
      <c r="D804" t="s">
        <v>7</v>
      </c>
      <c r="E804" t="s">
        <v>139</v>
      </c>
      <c r="F804" t="s">
        <v>1</v>
      </c>
      <c r="G804">
        <v>9</v>
      </c>
      <c r="H804">
        <v>9.4</v>
      </c>
      <c r="I804">
        <v>9.6999999999999993</v>
      </c>
      <c r="J804" s="1">
        <v>36.549999999999997</v>
      </c>
      <c r="K804" s="1" t="e">
        <v>#N/A</v>
      </c>
      <c r="L804" t="s">
        <v>8</v>
      </c>
      <c r="M804" t="s">
        <v>9</v>
      </c>
      <c r="N804">
        <f>2000+RIGHT(Table1[[#This Row],[Release Date]],2)</f>
        <v>2018</v>
      </c>
      <c r="O804">
        <f>_xlfn.MAXIFS(Table1[[#This Row],[Total Shipped]]:Table1[[#This Row],[Total Sales]],Table1[[#This Row],[Total Shipped]]:Table1[[#This Row],[Total Sales]],"&lt;&gt;#N/A")</f>
        <v>36.549999999999997</v>
      </c>
      <c r="P804">
        <f>_xlfn.MAXIFS(Table1[[#This Row],[VGChartz Score]:[User Score]],Table1[[#This Row],[VGChartz Score]:[User Score]],"&lt;&gt;#N/A")</f>
        <v>9.6999999999999993</v>
      </c>
    </row>
    <row r="805" spans="1:16" hidden="1" x14ac:dyDescent="0.2">
      <c r="A805">
        <f t="shared" si="15"/>
        <v>804</v>
      </c>
      <c r="B805">
        <v>4</v>
      </c>
      <c r="C805" t="s">
        <v>138</v>
      </c>
      <c r="D805" t="s">
        <v>10</v>
      </c>
      <c r="E805" t="s">
        <v>139</v>
      </c>
      <c r="F805" t="s">
        <v>1</v>
      </c>
      <c r="G805" t="e">
        <v>#N/A</v>
      </c>
      <c r="H805">
        <v>9.9</v>
      </c>
      <c r="I805">
        <v>10</v>
      </c>
      <c r="J805" s="2">
        <v>33.04</v>
      </c>
      <c r="K805" s="2" t="e">
        <v>#N/A</v>
      </c>
      <c r="L805" t="s">
        <v>11</v>
      </c>
      <c r="M805" t="s">
        <v>3</v>
      </c>
      <c r="N805">
        <f>2000+RIGHT(Table1[[#This Row],[Release Date]],2)</f>
        <v>2017</v>
      </c>
      <c r="O805">
        <f>_xlfn.MAXIFS(Table1[[#This Row],[Total Shipped]]:Table1[[#This Row],[Total Sales]],Table1[[#This Row],[Total Shipped]]:Table1[[#This Row],[Total Sales]],"&lt;&gt;#N/A")</f>
        <v>33.04</v>
      </c>
      <c r="P805">
        <f>_xlfn.MAXIFS(Table1[[#This Row],[VGChartz Score]:[User Score]],Table1[[#This Row],[VGChartz Score]:[User Score]],"&lt;&gt;#N/A")</f>
        <v>10</v>
      </c>
    </row>
    <row r="806" spans="1:16" hidden="1" x14ac:dyDescent="0.2">
      <c r="A806">
        <f t="shared" si="15"/>
        <v>805</v>
      </c>
      <c r="B806">
        <v>5</v>
      </c>
      <c r="C806" t="s">
        <v>138</v>
      </c>
      <c r="D806" t="s">
        <v>12</v>
      </c>
      <c r="E806" t="s">
        <v>139</v>
      </c>
      <c r="F806" t="s">
        <v>1</v>
      </c>
      <c r="G806" t="e">
        <v>#N/A</v>
      </c>
      <c r="H806">
        <v>9.9</v>
      </c>
      <c r="I806" t="e">
        <v>#N/A</v>
      </c>
      <c r="J806" s="1">
        <v>29.5</v>
      </c>
      <c r="K806" s="1" t="e">
        <v>#N/A</v>
      </c>
      <c r="L806" t="s">
        <v>13</v>
      </c>
      <c r="M806" t="s">
        <v>3</v>
      </c>
      <c r="N806">
        <f>2000+RIGHT(Table1[[#This Row],[Release Date]],2)</f>
        <v>2017</v>
      </c>
      <c r="O806">
        <f>_xlfn.MAXIFS(Table1[[#This Row],[Total Shipped]]:Table1[[#This Row],[Total Sales]],Table1[[#This Row],[Total Shipped]]:Table1[[#This Row],[Total Sales]],"&lt;&gt;#N/A")</f>
        <v>29.5</v>
      </c>
      <c r="P806">
        <f>_xlfn.MAXIFS(Table1[[#This Row],[VGChartz Score]:[User Score]],Table1[[#This Row],[VGChartz Score]:[User Score]],"&lt;&gt;#N/A")</f>
        <v>9.9</v>
      </c>
    </row>
    <row r="807" spans="1:16" x14ac:dyDescent="0.2">
      <c r="A807">
        <f t="shared" ref="A807:A842" si="16">ROW()-1</f>
        <v>806</v>
      </c>
      <c r="B807">
        <v>6</v>
      </c>
      <c r="C807" t="s">
        <v>138</v>
      </c>
      <c r="D807" t="s">
        <v>14</v>
      </c>
      <c r="E807" t="s">
        <v>139</v>
      </c>
      <c r="F807" t="s">
        <v>1</v>
      </c>
      <c r="G807">
        <v>7</v>
      </c>
      <c r="H807" t="e">
        <v>#N/A</v>
      </c>
      <c r="I807" t="e">
        <v>#N/A</v>
      </c>
      <c r="J807" s="2">
        <v>27.15</v>
      </c>
      <c r="K807" s="2" t="e">
        <v>#N/A</v>
      </c>
      <c r="L807" t="s">
        <v>15</v>
      </c>
      <c r="M807" t="s">
        <v>16</v>
      </c>
      <c r="N807">
        <f>2000+RIGHT(Table1[[#This Row],[Release Date]],2)</f>
        <v>2022</v>
      </c>
      <c r="O807">
        <f>_xlfn.MAXIFS(Table1[[#This Row],[Total Shipped]]:Table1[[#This Row],[Total Sales]],Table1[[#This Row],[Total Shipped]]:Table1[[#This Row],[Total Sales]],"&lt;&gt;#N/A")</f>
        <v>27.15</v>
      </c>
      <c r="P807">
        <f>_xlfn.MAXIFS(Table1[[#This Row],[VGChartz Score]:[User Score]],Table1[[#This Row],[VGChartz Score]:[User Score]],"&lt;&gt;#N/A")</f>
        <v>7</v>
      </c>
    </row>
    <row r="808" spans="1:16" hidden="1" x14ac:dyDescent="0.2">
      <c r="A808">
        <f t="shared" si="16"/>
        <v>807</v>
      </c>
      <c r="B808">
        <v>7</v>
      </c>
      <c r="C808" t="s">
        <v>138</v>
      </c>
      <c r="D808" t="s">
        <v>17</v>
      </c>
      <c r="E808" t="s">
        <v>139</v>
      </c>
      <c r="F808" t="s">
        <v>1</v>
      </c>
      <c r="G808">
        <v>7</v>
      </c>
      <c r="H808" t="e">
        <v>#N/A</v>
      </c>
      <c r="I808" t="e">
        <v>#N/A</v>
      </c>
      <c r="J808" s="1">
        <v>26.84</v>
      </c>
      <c r="K808" s="1" t="e">
        <v>#N/A</v>
      </c>
      <c r="L808" t="s">
        <v>18</v>
      </c>
      <c r="M808" t="s">
        <v>19</v>
      </c>
      <c r="N808">
        <f>2000+RIGHT(Table1[[#This Row],[Release Date]],2)</f>
        <v>2019</v>
      </c>
      <c r="O808">
        <f>_xlfn.MAXIFS(Table1[[#This Row],[Total Shipped]]:Table1[[#This Row],[Total Sales]],Table1[[#This Row],[Total Shipped]]:Table1[[#This Row],[Total Sales]],"&lt;&gt;#N/A")</f>
        <v>26.84</v>
      </c>
      <c r="P808">
        <f>_xlfn.MAXIFS(Table1[[#This Row],[VGChartz Score]:[User Score]],Table1[[#This Row],[VGChartz Score]:[User Score]],"&lt;&gt;#N/A")</f>
        <v>7</v>
      </c>
    </row>
    <row r="809" spans="1:16" hidden="1" x14ac:dyDescent="0.2">
      <c r="A809">
        <f t="shared" si="16"/>
        <v>808</v>
      </c>
      <c r="B809">
        <v>8</v>
      </c>
      <c r="C809" t="s">
        <v>138</v>
      </c>
      <c r="D809" t="s">
        <v>20</v>
      </c>
      <c r="E809" t="s">
        <v>139</v>
      </c>
      <c r="F809" t="s">
        <v>1</v>
      </c>
      <c r="G809">
        <v>9.5</v>
      </c>
      <c r="H809" t="e">
        <v>#N/A</v>
      </c>
      <c r="I809">
        <v>8.6</v>
      </c>
      <c r="J809" s="2">
        <v>21.93</v>
      </c>
      <c r="K809" s="2" t="e">
        <v>#N/A</v>
      </c>
      <c r="L809" t="s">
        <v>21</v>
      </c>
      <c r="M809" t="s">
        <v>22</v>
      </c>
      <c r="N809">
        <f>2000+RIGHT(Table1[[#This Row],[Release Date]],2)</f>
        <v>2023</v>
      </c>
      <c r="O809">
        <f>_xlfn.MAXIFS(Table1[[#This Row],[Total Shipped]]:Table1[[#This Row],[Total Sales]],Table1[[#This Row],[Total Shipped]]:Table1[[#This Row],[Total Sales]],"&lt;&gt;#N/A")</f>
        <v>21.93</v>
      </c>
      <c r="P809">
        <f>_xlfn.MAXIFS(Table1[[#This Row],[VGChartz Score]:[User Score]],Table1[[#This Row],[VGChartz Score]:[User Score]],"&lt;&gt;#N/A")</f>
        <v>9.5</v>
      </c>
    </row>
    <row r="810" spans="1:16" hidden="1" x14ac:dyDescent="0.2">
      <c r="A810">
        <f t="shared" si="16"/>
        <v>809</v>
      </c>
      <c r="B810">
        <v>9</v>
      </c>
      <c r="C810" t="s">
        <v>138</v>
      </c>
      <c r="D810" t="s">
        <v>23</v>
      </c>
      <c r="E810" t="s">
        <v>139</v>
      </c>
      <c r="F810" t="s">
        <v>1</v>
      </c>
      <c r="G810">
        <v>7</v>
      </c>
      <c r="H810">
        <v>7.3</v>
      </c>
      <c r="I810" t="e">
        <v>#N/A</v>
      </c>
      <c r="J810" s="1">
        <v>21.19</v>
      </c>
      <c r="K810" s="1" t="e">
        <v>#N/A</v>
      </c>
      <c r="L810" t="s">
        <v>24</v>
      </c>
      <c r="M810" t="s">
        <v>3</v>
      </c>
      <c r="N810">
        <f>2000+RIGHT(Table1[[#This Row],[Release Date]],2)</f>
        <v>2018</v>
      </c>
      <c r="O810">
        <f>_xlfn.MAXIFS(Table1[[#This Row],[Total Shipped]]:Table1[[#This Row],[Total Sales]],Table1[[#This Row],[Total Shipped]]:Table1[[#This Row],[Total Sales]],"&lt;&gt;#N/A")</f>
        <v>21.19</v>
      </c>
      <c r="P810">
        <f>_xlfn.MAXIFS(Table1[[#This Row],[VGChartz Score]:[User Score]],Table1[[#This Row],[VGChartz Score]:[User Score]],"&lt;&gt;#N/A")</f>
        <v>7.3</v>
      </c>
    </row>
    <row r="811" spans="1:16" hidden="1" x14ac:dyDescent="0.2">
      <c r="A811">
        <f t="shared" si="16"/>
        <v>810</v>
      </c>
      <c r="B811">
        <v>10</v>
      </c>
      <c r="C811" t="s">
        <v>138</v>
      </c>
      <c r="D811" t="s">
        <v>25</v>
      </c>
      <c r="E811" t="s">
        <v>139</v>
      </c>
      <c r="F811" t="s">
        <v>1</v>
      </c>
      <c r="G811" t="e">
        <v>#N/A</v>
      </c>
      <c r="H811" t="e">
        <v>#N/A</v>
      </c>
      <c r="I811">
        <v>6.6</v>
      </c>
      <c r="J811" s="2">
        <v>18.36</v>
      </c>
      <c r="K811" s="2" t="e">
        <v>#N/A</v>
      </c>
      <c r="L811" t="s">
        <v>26</v>
      </c>
      <c r="M811" t="s">
        <v>27</v>
      </c>
      <c r="N811">
        <f>2000+RIGHT(Table1[[#This Row],[Release Date]],2)</f>
        <v>2019</v>
      </c>
      <c r="O811">
        <f>_xlfn.MAXIFS(Table1[[#This Row],[Total Shipped]]:Table1[[#This Row],[Total Sales]],Table1[[#This Row],[Total Shipped]]:Table1[[#This Row],[Total Sales]],"&lt;&gt;#N/A")</f>
        <v>18.36</v>
      </c>
      <c r="P811">
        <f>_xlfn.MAXIFS(Table1[[#This Row],[VGChartz Score]:[User Score]],Table1[[#This Row],[VGChartz Score]:[User Score]],"&lt;&gt;#N/A")</f>
        <v>6.6</v>
      </c>
    </row>
    <row r="812" spans="1:16" x14ac:dyDescent="0.2">
      <c r="A812">
        <f t="shared" si="16"/>
        <v>811</v>
      </c>
      <c r="B812">
        <v>11</v>
      </c>
      <c r="C812" t="s">
        <v>138</v>
      </c>
      <c r="D812" t="s">
        <v>28</v>
      </c>
      <c r="E812" t="s">
        <v>139</v>
      </c>
      <c r="F812" t="s">
        <v>1</v>
      </c>
      <c r="G812">
        <v>3</v>
      </c>
      <c r="H812" t="e">
        <v>#N/A</v>
      </c>
      <c r="I812" t="e">
        <v>#N/A</v>
      </c>
      <c r="J812" s="1">
        <v>16.27</v>
      </c>
      <c r="K812" s="1" t="e">
        <v>#N/A</v>
      </c>
      <c r="L812" t="s">
        <v>29</v>
      </c>
      <c r="M812" t="s">
        <v>30</v>
      </c>
      <c r="N812">
        <f>2000+RIGHT(Table1[[#This Row],[Release Date]],2)</f>
        <v>2022</v>
      </c>
      <c r="O812">
        <f>_xlfn.MAXIFS(Table1[[#This Row],[Total Shipped]]:Table1[[#This Row],[Total Sales]],Table1[[#This Row],[Total Shipped]]:Table1[[#This Row],[Total Sales]],"&lt;&gt;#N/A")</f>
        <v>16.27</v>
      </c>
      <c r="P812">
        <f>_xlfn.MAXIFS(Table1[[#This Row],[VGChartz Score]:[User Score]],Table1[[#This Row],[VGChartz Score]:[User Score]],"&lt;&gt;#N/A")</f>
        <v>3</v>
      </c>
    </row>
    <row r="813" spans="1:16" hidden="1" x14ac:dyDescent="0.2">
      <c r="A813">
        <f t="shared" si="16"/>
        <v>812</v>
      </c>
      <c r="B813">
        <v>12</v>
      </c>
      <c r="C813" t="s">
        <v>138</v>
      </c>
      <c r="D813" t="s">
        <v>31</v>
      </c>
      <c r="E813" t="s">
        <v>139</v>
      </c>
      <c r="F813" t="s">
        <v>1</v>
      </c>
      <c r="G813">
        <v>8.5</v>
      </c>
      <c r="H813" t="e">
        <v>#N/A</v>
      </c>
      <c r="I813">
        <v>9.5</v>
      </c>
      <c r="J813" s="2">
        <v>16.03</v>
      </c>
      <c r="K813" s="2" t="e">
        <v>#N/A</v>
      </c>
      <c r="L813" t="s">
        <v>32</v>
      </c>
      <c r="M813" t="s">
        <v>33</v>
      </c>
      <c r="N813">
        <f>2000+RIGHT(Table1[[#This Row],[Release Date]],2)</f>
        <v>2023</v>
      </c>
      <c r="O813">
        <f>_xlfn.MAXIFS(Table1[[#This Row],[Total Shipped]]:Table1[[#This Row],[Total Sales]],Table1[[#This Row],[Total Shipped]]:Table1[[#This Row],[Total Sales]],"&lt;&gt;#N/A")</f>
        <v>16.03</v>
      </c>
      <c r="P813">
        <f>_xlfn.MAXIFS(Table1[[#This Row],[VGChartz Score]:[User Score]],Table1[[#This Row],[VGChartz Score]:[User Score]],"&lt;&gt;#N/A")</f>
        <v>9.5</v>
      </c>
    </row>
    <row r="814" spans="1:16" hidden="1" x14ac:dyDescent="0.2">
      <c r="A814">
        <f t="shared" si="16"/>
        <v>813</v>
      </c>
      <c r="B814">
        <v>13</v>
      </c>
      <c r="C814" t="s">
        <v>138</v>
      </c>
      <c r="D814" t="s">
        <v>34</v>
      </c>
      <c r="E814" t="s">
        <v>139</v>
      </c>
      <c r="F814" t="s">
        <v>1</v>
      </c>
      <c r="G814" t="e">
        <v>#N/A</v>
      </c>
      <c r="H814" t="e">
        <v>#N/A</v>
      </c>
      <c r="I814" t="e">
        <v>#N/A</v>
      </c>
      <c r="J814" s="1">
        <v>15.38</v>
      </c>
      <c r="K814" s="1" t="e">
        <v>#N/A</v>
      </c>
      <c r="L814" t="s">
        <v>35</v>
      </c>
      <c r="M814" t="s">
        <v>35</v>
      </c>
      <c r="N814">
        <f>2000+RIGHT(Table1[[#This Row],[Release Date]],2)</f>
        <v>2019</v>
      </c>
      <c r="O814">
        <f>_xlfn.MAXIFS(Table1[[#This Row],[Total Shipped]]:Table1[[#This Row],[Total Sales]],Table1[[#This Row],[Total Shipped]]:Table1[[#This Row],[Total Sales]],"&lt;&gt;#N/A")</f>
        <v>15.38</v>
      </c>
      <c r="P814">
        <f>_xlfn.MAXIFS(Table1[[#This Row],[VGChartz Score]:[User Score]],Table1[[#This Row],[VGChartz Score]:[User Score]],"&lt;&gt;#N/A")</f>
        <v>0</v>
      </c>
    </row>
    <row r="815" spans="1:16" hidden="1" x14ac:dyDescent="0.2">
      <c r="A815">
        <f t="shared" si="16"/>
        <v>814</v>
      </c>
      <c r="B815">
        <v>14</v>
      </c>
      <c r="C815" t="s">
        <v>138</v>
      </c>
      <c r="D815" t="s">
        <v>36</v>
      </c>
      <c r="E815" t="s">
        <v>139</v>
      </c>
      <c r="F815" t="s">
        <v>1</v>
      </c>
      <c r="G815">
        <v>8</v>
      </c>
      <c r="H815" t="e">
        <v>#N/A</v>
      </c>
      <c r="I815" t="e">
        <v>#N/A</v>
      </c>
      <c r="J815" s="2">
        <v>15.07</v>
      </c>
      <c r="K815" s="2" t="e">
        <v>#N/A</v>
      </c>
      <c r="L815" t="s">
        <v>37</v>
      </c>
      <c r="M815" t="s">
        <v>38</v>
      </c>
      <c r="N815">
        <f>2000+RIGHT(Table1[[#This Row],[Release Date]],2)</f>
        <v>2018</v>
      </c>
      <c r="O815">
        <f>_xlfn.MAXIFS(Table1[[#This Row],[Total Shipped]]:Table1[[#This Row],[Total Sales]],Table1[[#This Row],[Total Shipped]]:Table1[[#This Row],[Total Sales]],"&lt;&gt;#N/A")</f>
        <v>15.07</v>
      </c>
      <c r="P815">
        <f>_xlfn.MAXIFS(Table1[[#This Row],[VGChartz Score]:[User Score]],Table1[[#This Row],[VGChartz Score]:[User Score]],"&lt;&gt;#N/A")</f>
        <v>8</v>
      </c>
    </row>
    <row r="816" spans="1:16" hidden="1" x14ac:dyDescent="0.2">
      <c r="A816">
        <f t="shared" si="16"/>
        <v>815</v>
      </c>
      <c r="B816">
        <v>15</v>
      </c>
      <c r="C816" t="s">
        <v>138</v>
      </c>
      <c r="D816" t="s">
        <v>39</v>
      </c>
      <c r="E816" t="s">
        <v>139</v>
      </c>
      <c r="F816" t="s">
        <v>1</v>
      </c>
      <c r="G816">
        <v>2.5</v>
      </c>
      <c r="H816" t="e">
        <v>#N/A</v>
      </c>
      <c r="I816" t="e">
        <v>#N/A</v>
      </c>
      <c r="J816" s="1">
        <v>15.06</v>
      </c>
      <c r="K816" s="1" t="e">
        <v>#N/A</v>
      </c>
      <c r="L816" t="s">
        <v>40</v>
      </c>
      <c r="M816" t="s">
        <v>41</v>
      </c>
      <c r="N816">
        <f>2000+RIGHT(Table1[[#This Row],[Release Date]],2)</f>
        <v>2021</v>
      </c>
      <c r="O816">
        <f>_xlfn.MAXIFS(Table1[[#This Row],[Total Shipped]]:Table1[[#This Row],[Total Sales]],Table1[[#This Row],[Total Shipped]]:Table1[[#This Row],[Total Sales]],"&lt;&gt;#N/A")</f>
        <v>15.06</v>
      </c>
      <c r="P816">
        <f>_xlfn.MAXIFS(Table1[[#This Row],[VGChartz Score]:[User Score]],Table1[[#This Row],[VGChartz Score]:[User Score]],"&lt;&gt;#N/A")</f>
        <v>2.5</v>
      </c>
    </row>
    <row r="817" spans="1:16" x14ac:dyDescent="0.2">
      <c r="A817">
        <f t="shared" si="16"/>
        <v>816</v>
      </c>
      <c r="B817">
        <v>16</v>
      </c>
      <c r="C817" t="s">
        <v>138</v>
      </c>
      <c r="D817" t="s">
        <v>42</v>
      </c>
      <c r="E817" t="s">
        <v>139</v>
      </c>
      <c r="F817" t="s">
        <v>1</v>
      </c>
      <c r="G817">
        <v>8</v>
      </c>
      <c r="H817" t="e">
        <v>#N/A</v>
      </c>
      <c r="I817" t="e">
        <v>#N/A</v>
      </c>
      <c r="J817" s="2">
        <v>14.83</v>
      </c>
      <c r="K817" s="2" t="e">
        <v>#N/A</v>
      </c>
      <c r="L817" t="s">
        <v>43</v>
      </c>
      <c r="M817" t="s">
        <v>41</v>
      </c>
      <c r="N817">
        <f>2000+RIGHT(Table1[[#This Row],[Release Date]],2)</f>
        <v>2022</v>
      </c>
      <c r="O817">
        <f>_xlfn.MAXIFS(Table1[[#This Row],[Total Shipped]]:Table1[[#This Row],[Total Sales]],Table1[[#This Row],[Total Shipped]]:Table1[[#This Row],[Total Sales]],"&lt;&gt;#N/A")</f>
        <v>14.83</v>
      </c>
      <c r="P817">
        <f>_xlfn.MAXIFS(Table1[[#This Row],[VGChartz Score]:[User Score]],Table1[[#This Row],[VGChartz Score]:[User Score]],"&lt;&gt;#N/A")</f>
        <v>8</v>
      </c>
    </row>
    <row r="818" spans="1:16" hidden="1" x14ac:dyDescent="0.2">
      <c r="A818">
        <f t="shared" si="16"/>
        <v>817</v>
      </c>
      <c r="B818">
        <v>17</v>
      </c>
      <c r="C818" t="s">
        <v>138</v>
      </c>
      <c r="D818" t="s">
        <v>44</v>
      </c>
      <c r="E818" t="s">
        <v>139</v>
      </c>
      <c r="F818" t="s">
        <v>1</v>
      </c>
      <c r="G818">
        <v>6</v>
      </c>
      <c r="H818" t="e">
        <v>#N/A</v>
      </c>
      <c r="I818" t="e">
        <v>#N/A</v>
      </c>
      <c r="J818" s="1">
        <v>14.25</v>
      </c>
      <c r="K818" s="1" t="e">
        <v>#N/A</v>
      </c>
      <c r="L818" t="s">
        <v>45</v>
      </c>
      <c r="M818" t="s">
        <v>46</v>
      </c>
      <c r="N818">
        <f>2000+RIGHT(Table1[[#This Row],[Release Date]],2)</f>
        <v>2019</v>
      </c>
      <c r="O818">
        <f>_xlfn.MAXIFS(Table1[[#This Row],[Total Shipped]]:Table1[[#This Row],[Total Sales]],Table1[[#This Row],[Total Shipped]]:Table1[[#This Row],[Total Sales]],"&lt;&gt;#N/A")</f>
        <v>14.25</v>
      </c>
      <c r="P818">
        <f>_xlfn.MAXIFS(Table1[[#This Row],[VGChartz Score]:[User Score]],Table1[[#This Row],[VGChartz Score]:[User Score]],"&lt;&gt;#N/A")</f>
        <v>6</v>
      </c>
    </row>
    <row r="819" spans="1:16" hidden="1" x14ac:dyDescent="0.2">
      <c r="A819">
        <f t="shared" si="16"/>
        <v>818</v>
      </c>
      <c r="B819">
        <v>18</v>
      </c>
      <c r="C819" t="s">
        <v>138</v>
      </c>
      <c r="D819" t="s">
        <v>47</v>
      </c>
      <c r="E819" t="s">
        <v>139</v>
      </c>
      <c r="F819" t="s">
        <v>1</v>
      </c>
      <c r="G819">
        <v>8</v>
      </c>
      <c r="H819" t="e">
        <v>#N/A</v>
      </c>
      <c r="I819" t="e">
        <v>#N/A</v>
      </c>
      <c r="J819" s="2">
        <v>14</v>
      </c>
      <c r="K819" s="2" t="e">
        <v>#N/A</v>
      </c>
      <c r="L819" t="s">
        <v>48</v>
      </c>
      <c r="M819" t="s">
        <v>49</v>
      </c>
      <c r="N819">
        <f>2000+RIGHT(Table1[[#This Row],[Release Date]],2)</f>
        <v>2021</v>
      </c>
      <c r="O819">
        <f>_xlfn.MAXIFS(Table1[[#This Row],[Total Shipped]]:Table1[[#This Row],[Total Sales]],Table1[[#This Row],[Total Shipped]]:Table1[[#This Row],[Total Sales]],"&lt;&gt;#N/A")</f>
        <v>14</v>
      </c>
      <c r="P819">
        <f>_xlfn.MAXIFS(Table1[[#This Row],[VGChartz Score]:[User Score]],Table1[[#This Row],[VGChartz Score]:[User Score]],"&lt;&gt;#N/A")</f>
        <v>8</v>
      </c>
    </row>
    <row r="820" spans="1:16" hidden="1" x14ac:dyDescent="0.2">
      <c r="A820">
        <f t="shared" si="16"/>
        <v>819</v>
      </c>
      <c r="B820">
        <v>19</v>
      </c>
      <c r="C820" t="s">
        <v>138</v>
      </c>
      <c r="D820" t="s">
        <v>50</v>
      </c>
      <c r="E820" t="s">
        <v>139</v>
      </c>
      <c r="F820" t="s">
        <v>1</v>
      </c>
      <c r="G820" t="e">
        <v>#N/A</v>
      </c>
      <c r="H820">
        <v>8.1999999999999993</v>
      </c>
      <c r="I820" t="e">
        <v>#N/A</v>
      </c>
      <c r="J820" s="1">
        <v>13.6</v>
      </c>
      <c r="K820" s="1" t="e">
        <v>#N/A</v>
      </c>
      <c r="L820" t="s">
        <v>51</v>
      </c>
      <c r="M820" t="s">
        <v>3</v>
      </c>
      <c r="N820">
        <f>2000+RIGHT(Table1[[#This Row],[Release Date]],2)</f>
        <v>2017</v>
      </c>
      <c r="O820">
        <f>_xlfn.MAXIFS(Table1[[#This Row],[Total Shipped]]:Table1[[#This Row],[Total Sales]],Table1[[#This Row],[Total Shipped]]:Table1[[#This Row],[Total Sales]],"&lt;&gt;#N/A")</f>
        <v>13.6</v>
      </c>
      <c r="P820">
        <f>_xlfn.MAXIFS(Table1[[#This Row],[VGChartz Score]:[User Score]],Table1[[#This Row],[VGChartz Score]:[User Score]],"&lt;&gt;#N/A")</f>
        <v>8.1999999999999993</v>
      </c>
    </row>
    <row r="821" spans="1:16" hidden="1" x14ac:dyDescent="0.2">
      <c r="A821">
        <f t="shared" si="16"/>
        <v>820</v>
      </c>
      <c r="B821">
        <v>20</v>
      </c>
      <c r="C821" t="s">
        <v>138</v>
      </c>
      <c r="D821" t="s">
        <v>52</v>
      </c>
      <c r="E821" t="s">
        <v>139</v>
      </c>
      <c r="F821" t="s">
        <v>1</v>
      </c>
      <c r="G821" t="e">
        <v>#N/A</v>
      </c>
      <c r="H821" t="e">
        <v>#N/A</v>
      </c>
      <c r="I821" t="e">
        <v>#N/A</v>
      </c>
      <c r="J821" s="2">
        <v>13.47</v>
      </c>
      <c r="K821" s="2" t="e">
        <v>#N/A</v>
      </c>
      <c r="L821" t="s">
        <v>53</v>
      </c>
      <c r="M821" t="s">
        <v>54</v>
      </c>
      <c r="N821">
        <f>2000+RIGHT(Table1[[#This Row],[Release Date]],2)</f>
        <v>2021</v>
      </c>
      <c r="O821">
        <f>_xlfn.MAXIFS(Table1[[#This Row],[Total Shipped]]:Table1[[#This Row],[Total Sales]],Table1[[#This Row],[Total Shipped]]:Table1[[#This Row],[Total Sales]],"&lt;&gt;#N/A")</f>
        <v>13.47</v>
      </c>
      <c r="P821">
        <f>_xlfn.MAXIFS(Table1[[#This Row],[VGChartz Score]:[User Score]],Table1[[#This Row],[VGChartz Score]:[User Score]],"&lt;&gt;#N/A")</f>
        <v>0</v>
      </c>
    </row>
    <row r="822" spans="1:16" x14ac:dyDescent="0.2">
      <c r="A822">
        <f t="shared" si="16"/>
        <v>821</v>
      </c>
      <c r="B822">
        <v>21</v>
      </c>
      <c r="C822" t="s">
        <v>138</v>
      </c>
      <c r="D822" t="s">
        <v>55</v>
      </c>
      <c r="E822" t="s">
        <v>139</v>
      </c>
      <c r="F822" t="s">
        <v>1</v>
      </c>
      <c r="G822">
        <v>8.5</v>
      </c>
      <c r="H822" t="e">
        <v>#N/A</v>
      </c>
      <c r="I822" t="e">
        <v>#N/A</v>
      </c>
      <c r="J822" s="1">
        <v>11.96</v>
      </c>
      <c r="K822" s="1" t="e">
        <v>#N/A</v>
      </c>
      <c r="L822" t="s">
        <v>56</v>
      </c>
      <c r="M822" t="s">
        <v>57</v>
      </c>
      <c r="N822">
        <f>2000+RIGHT(Table1[[#This Row],[Release Date]],2)</f>
        <v>2022</v>
      </c>
      <c r="O822">
        <f>_xlfn.MAXIFS(Table1[[#This Row],[Total Shipped]]:Table1[[#This Row],[Total Sales]],Table1[[#This Row],[Total Shipped]]:Table1[[#This Row],[Total Sales]],"&lt;&gt;#N/A")</f>
        <v>11.96</v>
      </c>
      <c r="P822">
        <f>_xlfn.MAXIFS(Table1[[#This Row],[VGChartz Score]:[User Score]],Table1[[#This Row],[VGChartz Score]:[User Score]],"&lt;&gt;#N/A")</f>
        <v>8.5</v>
      </c>
    </row>
    <row r="823" spans="1:16" hidden="1" x14ac:dyDescent="0.2">
      <c r="A823">
        <f t="shared" si="16"/>
        <v>822</v>
      </c>
      <c r="B823">
        <v>22</v>
      </c>
      <c r="C823" t="s">
        <v>138</v>
      </c>
      <c r="D823" t="s">
        <v>58</v>
      </c>
      <c r="E823" t="s">
        <v>139</v>
      </c>
      <c r="F823" t="s">
        <v>1</v>
      </c>
      <c r="G823">
        <v>7</v>
      </c>
      <c r="H823" t="e">
        <v>#N/A</v>
      </c>
      <c r="I823" t="e">
        <v>#N/A</v>
      </c>
      <c r="J823" s="2">
        <v>9.07</v>
      </c>
      <c r="K823" s="2" t="e">
        <v>#N/A</v>
      </c>
      <c r="L823" t="s">
        <v>59</v>
      </c>
      <c r="M823" t="s">
        <v>60</v>
      </c>
      <c r="N823">
        <f>2000+RIGHT(Table1[[#This Row],[Release Date]],2)</f>
        <v>2020</v>
      </c>
      <c r="O823">
        <f>_xlfn.MAXIFS(Table1[[#This Row],[Total Shipped]]:Table1[[#This Row],[Total Sales]],Table1[[#This Row],[Total Shipped]]:Table1[[#This Row],[Total Sales]],"&lt;&gt;#N/A")</f>
        <v>9.07</v>
      </c>
      <c r="P823">
        <f>_xlfn.MAXIFS(Table1[[#This Row],[VGChartz Score]:[User Score]],Table1[[#This Row],[VGChartz Score]:[User Score]],"&lt;&gt;#N/A")</f>
        <v>7</v>
      </c>
    </row>
    <row r="824" spans="1:16" hidden="1" x14ac:dyDescent="0.2">
      <c r="A824">
        <f t="shared" si="16"/>
        <v>823</v>
      </c>
      <c r="B824">
        <v>23</v>
      </c>
      <c r="C824" t="s">
        <v>138</v>
      </c>
      <c r="D824" t="s">
        <v>61</v>
      </c>
      <c r="E824" t="s">
        <v>139</v>
      </c>
      <c r="F824" t="s">
        <v>1</v>
      </c>
      <c r="G824" t="e">
        <v>#N/A</v>
      </c>
      <c r="H824" t="e">
        <v>#N/A</v>
      </c>
      <c r="I824" t="e">
        <v>#N/A</v>
      </c>
      <c r="J824" s="1">
        <v>8.42</v>
      </c>
      <c r="K824" s="1" t="e">
        <v>#N/A</v>
      </c>
      <c r="L824" t="s">
        <v>62</v>
      </c>
      <c r="M824" t="s">
        <v>63</v>
      </c>
      <c r="N824">
        <f>2000+RIGHT(Table1[[#This Row],[Release Date]],2)</f>
        <v>2019</v>
      </c>
      <c r="O824">
        <f>_xlfn.MAXIFS(Table1[[#This Row],[Total Shipped]]:Table1[[#This Row],[Total Sales]],Table1[[#This Row],[Total Shipped]]:Table1[[#This Row],[Total Sales]],"&lt;&gt;#N/A")</f>
        <v>8.42</v>
      </c>
      <c r="P824">
        <f>_xlfn.MAXIFS(Table1[[#This Row],[VGChartz Score]:[User Score]],Table1[[#This Row],[VGChartz Score]:[User Score]],"&lt;&gt;#N/A")</f>
        <v>0</v>
      </c>
    </row>
    <row r="825" spans="1:16" hidden="1" x14ac:dyDescent="0.2">
      <c r="A825">
        <f t="shared" si="16"/>
        <v>824</v>
      </c>
      <c r="B825">
        <v>24</v>
      </c>
      <c r="C825" t="s">
        <v>138</v>
      </c>
      <c r="D825" t="s">
        <v>64</v>
      </c>
      <c r="E825" t="s">
        <v>139</v>
      </c>
      <c r="F825" t="s">
        <v>65</v>
      </c>
      <c r="G825" t="e">
        <v>#N/A</v>
      </c>
      <c r="H825">
        <v>9</v>
      </c>
      <c r="I825" t="e">
        <v>#N/A</v>
      </c>
      <c r="J825" s="2">
        <v>7.9</v>
      </c>
      <c r="K825" s="2" t="e">
        <v>#N/A</v>
      </c>
      <c r="L825" t="s">
        <v>66</v>
      </c>
      <c r="M825" t="s">
        <v>67</v>
      </c>
      <c r="N825">
        <f>2000+RIGHT(Table1[[#This Row],[Release Date]],2)</f>
        <v>2017</v>
      </c>
      <c r="O825">
        <f>_xlfn.MAXIFS(Table1[[#This Row],[Total Shipped]]:Table1[[#This Row],[Total Sales]],Table1[[#This Row],[Total Shipped]]:Table1[[#This Row],[Total Sales]],"&lt;&gt;#N/A")</f>
        <v>7.9</v>
      </c>
      <c r="P825">
        <f>_xlfn.MAXIFS(Table1[[#This Row],[VGChartz Score]:[User Score]],Table1[[#This Row],[VGChartz Score]:[User Score]],"&lt;&gt;#N/A")</f>
        <v>9</v>
      </c>
    </row>
    <row r="826" spans="1:16" hidden="1" x14ac:dyDescent="0.2">
      <c r="A826">
        <f t="shared" si="16"/>
        <v>825</v>
      </c>
      <c r="B826">
        <v>25</v>
      </c>
      <c r="C826" t="s">
        <v>138</v>
      </c>
      <c r="D826" t="s">
        <v>68</v>
      </c>
      <c r="E826" t="s">
        <v>139</v>
      </c>
      <c r="F826" t="s">
        <v>69</v>
      </c>
      <c r="G826">
        <v>7</v>
      </c>
      <c r="H826" t="e">
        <v>#N/A</v>
      </c>
      <c r="I826" t="e">
        <v>#N/A</v>
      </c>
      <c r="J826" s="1">
        <v>7.7</v>
      </c>
      <c r="K826" s="1" t="e">
        <v>#N/A</v>
      </c>
      <c r="L826" t="s">
        <v>70</v>
      </c>
      <c r="M826" t="s">
        <v>71</v>
      </c>
      <c r="N826">
        <f>2000+RIGHT(Table1[[#This Row],[Release Date]],2)</f>
        <v>2021</v>
      </c>
      <c r="O826">
        <f>_xlfn.MAXIFS(Table1[[#This Row],[Total Shipped]]:Table1[[#This Row],[Total Sales]],Table1[[#This Row],[Total Shipped]]:Table1[[#This Row],[Total Sales]],"&lt;&gt;#N/A")</f>
        <v>7.7</v>
      </c>
      <c r="P826">
        <f>_xlfn.MAXIFS(Table1[[#This Row],[VGChartz Score]:[User Score]],Table1[[#This Row],[VGChartz Score]:[User Score]],"&lt;&gt;#N/A")</f>
        <v>7</v>
      </c>
    </row>
    <row r="827" spans="1:16" x14ac:dyDescent="0.2">
      <c r="A827">
        <f t="shared" si="16"/>
        <v>826</v>
      </c>
      <c r="B827">
        <v>26</v>
      </c>
      <c r="C827" t="s">
        <v>138</v>
      </c>
      <c r="D827" t="s">
        <v>72</v>
      </c>
      <c r="E827" t="s">
        <v>139</v>
      </c>
      <c r="F827" t="s">
        <v>1</v>
      </c>
      <c r="G827">
        <v>8</v>
      </c>
      <c r="H827" t="e">
        <v>#N/A</v>
      </c>
      <c r="I827" t="e">
        <v>#N/A</v>
      </c>
      <c r="J827" s="2">
        <v>7.52</v>
      </c>
      <c r="K827" s="2" t="e">
        <v>#N/A</v>
      </c>
      <c r="L827" t="s">
        <v>73</v>
      </c>
      <c r="M827" t="s">
        <v>74</v>
      </c>
      <c r="N827">
        <f>2000+RIGHT(Table1[[#This Row],[Release Date]],2)</f>
        <v>2022</v>
      </c>
      <c r="O827">
        <f>_xlfn.MAXIFS(Table1[[#This Row],[Total Shipped]]:Table1[[#This Row],[Total Sales]],Table1[[#This Row],[Total Shipped]]:Table1[[#This Row],[Total Sales]],"&lt;&gt;#N/A")</f>
        <v>7.52</v>
      </c>
      <c r="P827">
        <f>_xlfn.MAXIFS(Table1[[#This Row],[VGChartz Score]:[User Score]],Table1[[#This Row],[VGChartz Score]:[User Score]],"&lt;&gt;#N/A")</f>
        <v>8</v>
      </c>
    </row>
    <row r="828" spans="1:16" hidden="1" x14ac:dyDescent="0.2">
      <c r="A828">
        <f t="shared" si="16"/>
        <v>827</v>
      </c>
      <c r="B828">
        <v>27</v>
      </c>
      <c r="C828" t="s">
        <v>138</v>
      </c>
      <c r="D828" t="s">
        <v>75</v>
      </c>
      <c r="E828" t="s">
        <v>139</v>
      </c>
      <c r="F828" t="s">
        <v>1</v>
      </c>
      <c r="G828" t="e">
        <v>#N/A</v>
      </c>
      <c r="H828" t="e">
        <v>#N/A</v>
      </c>
      <c r="I828" t="e">
        <v>#N/A</v>
      </c>
      <c r="J828" s="1">
        <v>7.48</v>
      </c>
      <c r="K828" s="1" t="e">
        <v>#N/A</v>
      </c>
      <c r="L828" t="s">
        <v>76</v>
      </c>
      <c r="M828" t="s">
        <v>77</v>
      </c>
      <c r="N828">
        <f>2000+RIGHT(Table1[[#This Row],[Release Date]],2)</f>
        <v>2024</v>
      </c>
      <c r="O828">
        <f>_xlfn.MAXIFS(Table1[[#This Row],[Total Shipped]]:Table1[[#This Row],[Total Sales]],Table1[[#This Row],[Total Shipped]]:Table1[[#This Row],[Total Sales]],"&lt;&gt;#N/A")</f>
        <v>7.48</v>
      </c>
      <c r="P828">
        <f>_xlfn.MAXIFS(Table1[[#This Row],[VGChartz Score]:[User Score]],Table1[[#This Row],[VGChartz Score]:[User Score]],"&lt;&gt;#N/A")</f>
        <v>0</v>
      </c>
    </row>
    <row r="829" spans="1:16" hidden="1" x14ac:dyDescent="0.2">
      <c r="A829">
        <f t="shared" si="16"/>
        <v>828</v>
      </c>
      <c r="B829">
        <v>28</v>
      </c>
      <c r="C829" t="s">
        <v>138</v>
      </c>
      <c r="D829" t="s">
        <v>78</v>
      </c>
      <c r="E829" t="s">
        <v>139</v>
      </c>
      <c r="F829" t="s">
        <v>1</v>
      </c>
      <c r="G829">
        <v>8</v>
      </c>
      <c r="H829" t="e">
        <v>#N/A</v>
      </c>
      <c r="I829">
        <v>10</v>
      </c>
      <c r="J829" s="2">
        <v>6.46</v>
      </c>
      <c r="K829" s="2" t="e">
        <v>#N/A</v>
      </c>
      <c r="L829" t="s">
        <v>79</v>
      </c>
      <c r="M829" t="s">
        <v>80</v>
      </c>
      <c r="N829">
        <f>2000+RIGHT(Table1[[#This Row],[Release Date]],2)</f>
        <v>2019</v>
      </c>
      <c r="O829">
        <f>_xlfn.MAXIFS(Table1[[#This Row],[Total Shipped]]:Table1[[#This Row],[Total Sales]],Table1[[#This Row],[Total Shipped]]:Table1[[#This Row],[Total Sales]],"&lt;&gt;#N/A")</f>
        <v>6.46</v>
      </c>
      <c r="P829">
        <f>_xlfn.MAXIFS(Table1[[#This Row],[VGChartz Score]:[User Score]],Table1[[#This Row],[VGChartz Score]:[User Score]],"&lt;&gt;#N/A")</f>
        <v>10</v>
      </c>
    </row>
    <row r="830" spans="1:16" hidden="1" x14ac:dyDescent="0.2">
      <c r="A830">
        <f t="shared" si="16"/>
        <v>829</v>
      </c>
      <c r="B830">
        <v>29</v>
      </c>
      <c r="C830" t="s">
        <v>138</v>
      </c>
      <c r="D830" t="s">
        <v>81</v>
      </c>
      <c r="E830" t="s">
        <v>139</v>
      </c>
      <c r="F830" t="s">
        <v>1</v>
      </c>
      <c r="G830">
        <v>8</v>
      </c>
      <c r="H830" t="e">
        <v>#N/A</v>
      </c>
      <c r="I830" t="e">
        <v>#N/A</v>
      </c>
      <c r="J830" s="1">
        <v>4.6399999999999997</v>
      </c>
      <c r="K830" s="1" t="e">
        <v>#N/A</v>
      </c>
      <c r="L830" t="s">
        <v>82</v>
      </c>
      <c r="M830" t="s">
        <v>83</v>
      </c>
      <c r="N830">
        <f>2000+RIGHT(Table1[[#This Row],[Release Date]],2)</f>
        <v>2020</v>
      </c>
      <c r="O830">
        <f>_xlfn.MAXIFS(Table1[[#This Row],[Total Shipped]]:Table1[[#This Row],[Total Sales]],Table1[[#This Row],[Total Shipped]]:Table1[[#This Row],[Total Sales]],"&lt;&gt;#N/A")</f>
        <v>4.6399999999999997</v>
      </c>
      <c r="P830">
        <f>_xlfn.MAXIFS(Table1[[#This Row],[VGChartz Score]:[User Score]],Table1[[#This Row],[VGChartz Score]:[User Score]],"&lt;&gt;#N/A")</f>
        <v>8</v>
      </c>
    </row>
    <row r="831" spans="1:16" hidden="1" x14ac:dyDescent="0.2">
      <c r="A831">
        <f t="shared" si="16"/>
        <v>830</v>
      </c>
      <c r="B831">
        <v>30</v>
      </c>
      <c r="C831" t="s">
        <v>138</v>
      </c>
      <c r="D831" t="s">
        <v>84</v>
      </c>
      <c r="E831" t="s">
        <v>139</v>
      </c>
      <c r="F831" t="s">
        <v>1</v>
      </c>
      <c r="G831">
        <v>7</v>
      </c>
      <c r="H831">
        <v>9.1</v>
      </c>
      <c r="I831">
        <v>9.1</v>
      </c>
      <c r="J831" s="2">
        <v>4.62</v>
      </c>
      <c r="K831" s="2" t="e">
        <v>#N/A</v>
      </c>
      <c r="L831" t="s">
        <v>85</v>
      </c>
      <c r="M831" t="s">
        <v>27</v>
      </c>
      <c r="N831">
        <f>2000+RIGHT(Table1[[#This Row],[Release Date]],2)</f>
        <v>2018</v>
      </c>
      <c r="O831">
        <f>_xlfn.MAXIFS(Table1[[#This Row],[Total Shipped]]:Table1[[#This Row],[Total Sales]],Table1[[#This Row],[Total Shipped]]:Table1[[#This Row],[Total Sales]],"&lt;&gt;#N/A")</f>
        <v>4.62</v>
      </c>
      <c r="P831">
        <f>_xlfn.MAXIFS(Table1[[#This Row],[VGChartz Score]:[User Score]],Table1[[#This Row],[VGChartz Score]:[User Score]],"&lt;&gt;#N/A")</f>
        <v>9.1</v>
      </c>
    </row>
    <row r="832" spans="1:16" hidden="1" x14ac:dyDescent="0.2">
      <c r="A832">
        <f t="shared" si="16"/>
        <v>831</v>
      </c>
      <c r="B832">
        <v>31</v>
      </c>
      <c r="C832" t="s">
        <v>138</v>
      </c>
      <c r="D832" t="s">
        <v>86</v>
      </c>
      <c r="E832" t="s">
        <v>139</v>
      </c>
      <c r="F832" t="s">
        <v>1</v>
      </c>
      <c r="G832">
        <v>7</v>
      </c>
      <c r="H832">
        <v>7.8</v>
      </c>
      <c r="I832" t="e">
        <v>#N/A</v>
      </c>
      <c r="J832" s="1">
        <v>4.5</v>
      </c>
      <c r="K832" s="1" t="e">
        <v>#N/A</v>
      </c>
      <c r="L832" t="s">
        <v>87</v>
      </c>
      <c r="M832" t="s">
        <v>88</v>
      </c>
      <c r="N832">
        <f>2000+RIGHT(Table1[[#This Row],[Release Date]],2)</f>
        <v>2018</v>
      </c>
      <c r="O832">
        <f>_xlfn.MAXIFS(Table1[[#This Row],[Total Shipped]]:Table1[[#This Row],[Total Sales]],Table1[[#This Row],[Total Shipped]]:Table1[[#This Row],[Total Sales]],"&lt;&gt;#N/A")</f>
        <v>4.5</v>
      </c>
      <c r="P832">
        <f>_xlfn.MAXIFS(Table1[[#This Row],[VGChartz Score]:[User Score]],Table1[[#This Row],[VGChartz Score]:[User Score]],"&lt;&gt;#N/A")</f>
        <v>7.8</v>
      </c>
    </row>
    <row r="833" spans="1:16" hidden="1" x14ac:dyDescent="0.2">
      <c r="A833">
        <f t="shared" si="16"/>
        <v>832</v>
      </c>
      <c r="B833">
        <v>32</v>
      </c>
      <c r="C833" t="s">
        <v>138</v>
      </c>
      <c r="D833" t="s">
        <v>89</v>
      </c>
      <c r="E833" t="s">
        <v>139</v>
      </c>
      <c r="F833" t="s">
        <v>1</v>
      </c>
      <c r="G833">
        <v>7</v>
      </c>
      <c r="H833">
        <v>8.1</v>
      </c>
      <c r="I833">
        <v>10</v>
      </c>
      <c r="J833" s="2">
        <v>4.38</v>
      </c>
      <c r="K833" s="2" t="e">
        <v>#N/A</v>
      </c>
      <c r="L833" t="s">
        <v>90</v>
      </c>
      <c r="M833" t="s">
        <v>91</v>
      </c>
      <c r="N833">
        <f>2000+RIGHT(Table1[[#This Row],[Release Date]],2)</f>
        <v>2018</v>
      </c>
      <c r="O833">
        <f>_xlfn.MAXIFS(Table1[[#This Row],[Total Shipped]]:Table1[[#This Row],[Total Sales]],Table1[[#This Row],[Total Shipped]]:Table1[[#This Row],[Total Sales]],"&lt;&gt;#N/A")</f>
        <v>4.38</v>
      </c>
      <c r="P833">
        <f>_xlfn.MAXIFS(Table1[[#This Row],[VGChartz Score]:[User Score]],Table1[[#This Row],[VGChartz Score]:[User Score]],"&lt;&gt;#N/A")</f>
        <v>10</v>
      </c>
    </row>
    <row r="834" spans="1:16" hidden="1" x14ac:dyDescent="0.2">
      <c r="A834">
        <f t="shared" si="16"/>
        <v>833</v>
      </c>
      <c r="B834">
        <v>33</v>
      </c>
      <c r="C834" t="s">
        <v>138</v>
      </c>
      <c r="D834" t="s">
        <v>92</v>
      </c>
      <c r="E834" t="s">
        <v>139</v>
      </c>
      <c r="F834" t="s">
        <v>1</v>
      </c>
      <c r="G834" t="e">
        <v>#N/A</v>
      </c>
      <c r="H834" t="e">
        <v>#N/A</v>
      </c>
      <c r="I834">
        <v>6</v>
      </c>
      <c r="J834" s="1">
        <v>4.1500000000000004</v>
      </c>
      <c r="K834" s="1" t="e">
        <v>#N/A</v>
      </c>
      <c r="L834" t="s">
        <v>93</v>
      </c>
      <c r="M834" t="s">
        <v>94</v>
      </c>
      <c r="N834">
        <f>2000+RIGHT(Table1[[#This Row],[Release Date]],2)</f>
        <v>2021</v>
      </c>
      <c r="O834">
        <f>_xlfn.MAXIFS(Table1[[#This Row],[Total Shipped]]:Table1[[#This Row],[Total Sales]],Table1[[#This Row],[Total Shipped]]:Table1[[#This Row],[Total Sales]],"&lt;&gt;#N/A")</f>
        <v>4.1500000000000004</v>
      </c>
      <c r="P834">
        <f>_xlfn.MAXIFS(Table1[[#This Row],[VGChartz Score]:[User Score]],Table1[[#This Row],[VGChartz Score]:[User Score]],"&lt;&gt;#N/A")</f>
        <v>6</v>
      </c>
    </row>
    <row r="835" spans="1:16" hidden="1" x14ac:dyDescent="0.2">
      <c r="A835">
        <f t="shared" si="16"/>
        <v>834</v>
      </c>
      <c r="B835">
        <v>34</v>
      </c>
      <c r="C835" t="s">
        <v>138</v>
      </c>
      <c r="D835" t="s">
        <v>95</v>
      </c>
      <c r="E835" t="s">
        <v>139</v>
      </c>
      <c r="F835" t="s">
        <v>1</v>
      </c>
      <c r="G835">
        <v>8</v>
      </c>
      <c r="H835" t="e">
        <v>#N/A</v>
      </c>
      <c r="I835">
        <v>10</v>
      </c>
      <c r="J835" s="2">
        <v>4.12</v>
      </c>
      <c r="K835" s="2" t="e">
        <v>#N/A</v>
      </c>
      <c r="L835" t="s">
        <v>96</v>
      </c>
      <c r="M835" t="s">
        <v>80</v>
      </c>
      <c r="N835">
        <f>2000+RIGHT(Table1[[#This Row],[Release Date]],2)</f>
        <v>2019</v>
      </c>
      <c r="O835">
        <f>_xlfn.MAXIFS(Table1[[#This Row],[Total Shipped]]:Table1[[#This Row],[Total Sales]],Table1[[#This Row],[Total Shipped]]:Table1[[#This Row],[Total Sales]],"&lt;&gt;#N/A")</f>
        <v>4.12</v>
      </c>
      <c r="P835">
        <f>_xlfn.MAXIFS(Table1[[#This Row],[VGChartz Score]:[User Score]],Table1[[#This Row],[VGChartz Score]:[User Score]],"&lt;&gt;#N/A")</f>
        <v>10</v>
      </c>
    </row>
    <row r="836" spans="1:16" hidden="1" x14ac:dyDescent="0.2">
      <c r="A836">
        <f t="shared" si="16"/>
        <v>835</v>
      </c>
      <c r="B836">
        <v>35</v>
      </c>
      <c r="C836" t="s">
        <v>138</v>
      </c>
      <c r="D836" t="s">
        <v>97</v>
      </c>
      <c r="E836" t="s">
        <v>139</v>
      </c>
      <c r="F836" t="s">
        <v>1</v>
      </c>
      <c r="G836">
        <v>7.5</v>
      </c>
      <c r="H836" t="e">
        <v>#N/A</v>
      </c>
      <c r="I836" t="e">
        <v>#N/A</v>
      </c>
      <c r="J836" s="1">
        <v>4.09</v>
      </c>
      <c r="K836" s="1" t="e">
        <v>#N/A</v>
      </c>
      <c r="L836" t="s">
        <v>98</v>
      </c>
      <c r="M836" t="s">
        <v>77</v>
      </c>
      <c r="N836">
        <f>2000+RIGHT(Table1[[#This Row],[Release Date]],2)</f>
        <v>2024</v>
      </c>
      <c r="O836">
        <f>_xlfn.MAXIFS(Table1[[#This Row],[Total Shipped]]:Table1[[#This Row],[Total Sales]],Table1[[#This Row],[Total Shipped]]:Table1[[#This Row],[Total Sales]],"&lt;&gt;#N/A")</f>
        <v>4.09</v>
      </c>
      <c r="P836">
        <f>_xlfn.MAXIFS(Table1[[#This Row],[VGChartz Score]:[User Score]],Table1[[#This Row],[VGChartz Score]:[User Score]],"&lt;&gt;#N/A")</f>
        <v>7.5</v>
      </c>
    </row>
    <row r="837" spans="1:16" hidden="1" x14ac:dyDescent="0.2">
      <c r="A837">
        <f t="shared" si="16"/>
        <v>836</v>
      </c>
      <c r="B837">
        <v>36</v>
      </c>
      <c r="C837" t="s">
        <v>138</v>
      </c>
      <c r="D837" t="s">
        <v>99</v>
      </c>
      <c r="E837" t="s">
        <v>139</v>
      </c>
      <c r="F837" t="s">
        <v>1</v>
      </c>
      <c r="G837">
        <v>5</v>
      </c>
      <c r="H837">
        <v>9</v>
      </c>
      <c r="I837" t="e">
        <v>#N/A</v>
      </c>
      <c r="J837" s="2">
        <v>4</v>
      </c>
      <c r="K837" s="2" t="e">
        <v>#N/A</v>
      </c>
      <c r="L837" t="s">
        <v>100</v>
      </c>
      <c r="M837" t="s">
        <v>101</v>
      </c>
      <c r="N837">
        <f>2000+RIGHT(Table1[[#This Row],[Release Date]],2)</f>
        <v>2020</v>
      </c>
      <c r="O837">
        <f>_xlfn.MAXIFS(Table1[[#This Row],[Total Shipped]]:Table1[[#This Row],[Total Sales]],Table1[[#This Row],[Total Shipped]]:Table1[[#This Row],[Total Sales]],"&lt;&gt;#N/A")</f>
        <v>4</v>
      </c>
      <c r="P837">
        <f>_xlfn.MAXIFS(Table1[[#This Row],[VGChartz Score]:[User Score]],Table1[[#This Row],[VGChartz Score]:[User Score]],"&lt;&gt;#N/A")</f>
        <v>9</v>
      </c>
    </row>
    <row r="838" spans="1:16" hidden="1" x14ac:dyDescent="0.2">
      <c r="A838">
        <f t="shared" si="16"/>
        <v>837</v>
      </c>
      <c r="B838">
        <v>37</v>
      </c>
      <c r="C838" t="s">
        <v>138</v>
      </c>
      <c r="D838" t="s">
        <v>102</v>
      </c>
      <c r="E838" t="s">
        <v>139</v>
      </c>
      <c r="F838" t="s">
        <v>103</v>
      </c>
      <c r="G838" t="e">
        <v>#N/A</v>
      </c>
      <c r="H838" t="e">
        <v>#N/A</v>
      </c>
      <c r="I838" t="e">
        <v>#N/A</v>
      </c>
      <c r="J838" s="1">
        <v>4</v>
      </c>
      <c r="K838" s="1" t="e">
        <v>#N/A</v>
      </c>
      <c r="L838" t="s">
        <v>104</v>
      </c>
      <c r="M838" t="s">
        <v>105</v>
      </c>
      <c r="N838">
        <f>2000+RIGHT(Table1[[#This Row],[Release Date]],2)</f>
        <v>2020</v>
      </c>
      <c r="O838">
        <f>_xlfn.MAXIFS(Table1[[#This Row],[Total Shipped]]:Table1[[#This Row],[Total Sales]],Table1[[#This Row],[Total Shipped]]:Table1[[#This Row],[Total Sales]],"&lt;&gt;#N/A")</f>
        <v>4</v>
      </c>
      <c r="P838">
        <f>_xlfn.MAXIFS(Table1[[#This Row],[VGChartz Score]:[User Score]],Table1[[#This Row],[VGChartz Score]:[User Score]],"&lt;&gt;#N/A")</f>
        <v>0</v>
      </c>
    </row>
    <row r="839" spans="1:16" hidden="1" x14ac:dyDescent="0.2">
      <c r="A839">
        <f t="shared" si="16"/>
        <v>838</v>
      </c>
      <c r="B839">
        <v>38</v>
      </c>
      <c r="C839" t="s">
        <v>138</v>
      </c>
      <c r="D839" t="s">
        <v>106</v>
      </c>
      <c r="E839" t="s">
        <v>139</v>
      </c>
      <c r="F839" t="s">
        <v>1</v>
      </c>
      <c r="G839" t="e">
        <v>#N/A</v>
      </c>
      <c r="H839">
        <v>5.7</v>
      </c>
      <c r="I839" t="e">
        <v>#N/A</v>
      </c>
      <c r="J839" s="2">
        <v>3.74</v>
      </c>
      <c r="K839" s="2" t="e">
        <v>#N/A</v>
      </c>
      <c r="L839" t="s">
        <v>11</v>
      </c>
      <c r="M839" t="s">
        <v>3</v>
      </c>
      <c r="N839">
        <f>2000+RIGHT(Table1[[#This Row],[Release Date]],2)</f>
        <v>2017</v>
      </c>
      <c r="O839">
        <f>_xlfn.MAXIFS(Table1[[#This Row],[Total Shipped]]:Table1[[#This Row],[Total Sales]],Table1[[#This Row],[Total Shipped]]:Table1[[#This Row],[Total Sales]],"&lt;&gt;#N/A")</f>
        <v>3.74</v>
      </c>
      <c r="P839">
        <f>_xlfn.MAXIFS(Table1[[#This Row],[VGChartz Score]:[User Score]],Table1[[#This Row],[VGChartz Score]:[User Score]],"&lt;&gt;#N/A")</f>
        <v>5.7</v>
      </c>
    </row>
    <row r="840" spans="1:16" hidden="1" x14ac:dyDescent="0.2">
      <c r="A840">
        <f t="shared" si="16"/>
        <v>839</v>
      </c>
      <c r="B840">
        <v>39</v>
      </c>
      <c r="C840" t="s">
        <v>138</v>
      </c>
      <c r="D840" t="s">
        <v>107</v>
      </c>
      <c r="E840" t="s">
        <v>139</v>
      </c>
      <c r="F840" t="s">
        <v>1</v>
      </c>
      <c r="G840">
        <v>7.5</v>
      </c>
      <c r="H840" t="e">
        <v>#N/A</v>
      </c>
      <c r="I840" t="e">
        <v>#N/A</v>
      </c>
      <c r="J840" s="1">
        <v>3.48</v>
      </c>
      <c r="K840" s="1" t="e">
        <v>#N/A</v>
      </c>
      <c r="L840" t="s">
        <v>108</v>
      </c>
      <c r="M840" t="s">
        <v>22</v>
      </c>
      <c r="N840">
        <f>2000+RIGHT(Table1[[#This Row],[Release Date]],2)</f>
        <v>2023</v>
      </c>
      <c r="O840">
        <f>_xlfn.MAXIFS(Table1[[#This Row],[Total Shipped]]:Table1[[#This Row],[Total Sales]],Table1[[#This Row],[Total Shipped]]:Table1[[#This Row],[Total Sales]],"&lt;&gt;#N/A")</f>
        <v>3.48</v>
      </c>
      <c r="P840">
        <f>_xlfn.MAXIFS(Table1[[#This Row],[VGChartz Score]:[User Score]],Table1[[#This Row],[VGChartz Score]:[User Score]],"&lt;&gt;#N/A")</f>
        <v>7.5</v>
      </c>
    </row>
    <row r="841" spans="1:16" hidden="1" x14ac:dyDescent="0.2">
      <c r="A841">
        <f t="shared" si="16"/>
        <v>840</v>
      </c>
      <c r="B841">
        <v>40</v>
      </c>
      <c r="C841" t="s">
        <v>138</v>
      </c>
      <c r="D841" t="s">
        <v>109</v>
      </c>
      <c r="E841" t="s">
        <v>139</v>
      </c>
      <c r="F841" t="s">
        <v>1</v>
      </c>
      <c r="G841">
        <v>8</v>
      </c>
      <c r="H841" t="e">
        <v>#N/A</v>
      </c>
      <c r="I841">
        <v>9</v>
      </c>
      <c r="J841" s="2">
        <v>3.47</v>
      </c>
      <c r="K841" s="2" t="e">
        <v>#N/A</v>
      </c>
      <c r="L841" t="s">
        <v>110</v>
      </c>
      <c r="M841" t="s">
        <v>111</v>
      </c>
      <c r="N841">
        <f>2000+RIGHT(Table1[[#This Row],[Release Date]],2)</f>
        <v>2020</v>
      </c>
      <c r="O841">
        <f>_xlfn.MAXIFS(Table1[[#This Row],[Total Shipped]]:Table1[[#This Row],[Total Sales]],Table1[[#This Row],[Total Shipped]]:Table1[[#This Row],[Total Sales]],"&lt;&gt;#N/A")</f>
        <v>3.47</v>
      </c>
      <c r="P841">
        <f>_xlfn.MAXIFS(Table1[[#This Row],[VGChartz Score]:[User Score]],Table1[[#This Row],[VGChartz Score]:[User Score]],"&lt;&gt;#N/A")</f>
        <v>9</v>
      </c>
    </row>
    <row r="842" spans="1:16" hidden="1" x14ac:dyDescent="0.2">
      <c r="A842">
        <f t="shared" si="16"/>
        <v>841</v>
      </c>
      <c r="B842">
        <v>41</v>
      </c>
      <c r="C842" t="s">
        <v>138</v>
      </c>
      <c r="D842" t="s">
        <v>112</v>
      </c>
      <c r="E842" t="s">
        <v>139</v>
      </c>
      <c r="F842" t="s">
        <v>1</v>
      </c>
      <c r="G842">
        <v>8</v>
      </c>
      <c r="H842">
        <v>7.8</v>
      </c>
      <c r="I842" t="e">
        <v>#N/A</v>
      </c>
      <c r="J842" s="1">
        <v>3.35</v>
      </c>
      <c r="K842" s="1" t="e">
        <v>#N/A</v>
      </c>
      <c r="L842" t="s">
        <v>113</v>
      </c>
      <c r="M842" t="s">
        <v>114</v>
      </c>
      <c r="N842">
        <f>2000+RIGHT(Table1[[#This Row],[Release Date]],2)</f>
        <v>2019</v>
      </c>
      <c r="O842">
        <f>_xlfn.MAXIFS(Table1[[#This Row],[Total Shipped]]:Table1[[#This Row],[Total Sales]],Table1[[#This Row],[Total Shipped]]:Table1[[#This Row],[Total Sales]],"&lt;&gt;#N/A")</f>
        <v>3.35</v>
      </c>
      <c r="P842">
        <f>_xlfn.MAXIFS(Table1[[#This Row],[VGChartz Score]:[User Score]],Table1[[#This Row],[VGChartz Score]:[User Score]],"&lt;&gt;#N/A")</f>
        <v>8</v>
      </c>
    </row>
    <row r="843" spans="1:16" hidden="1" x14ac:dyDescent="0.2">
      <c r="A843">
        <f t="shared" ref="A843:A892" si="17">ROW()-1</f>
        <v>842</v>
      </c>
      <c r="B843">
        <v>42</v>
      </c>
      <c r="C843" t="s">
        <v>138</v>
      </c>
      <c r="D843" t="s">
        <v>115</v>
      </c>
      <c r="E843" t="s">
        <v>139</v>
      </c>
      <c r="F843" t="s">
        <v>1</v>
      </c>
      <c r="G843">
        <v>8</v>
      </c>
      <c r="H843" t="e">
        <v>#N/A</v>
      </c>
      <c r="I843" t="e">
        <v>#N/A</v>
      </c>
      <c r="J843" s="2">
        <v>3.31</v>
      </c>
      <c r="K843" s="2" t="e">
        <v>#N/A</v>
      </c>
      <c r="L843" t="s">
        <v>116</v>
      </c>
      <c r="M843" t="s">
        <v>33</v>
      </c>
      <c r="N843">
        <f>2000+RIGHT(Table1[[#This Row],[Release Date]],2)</f>
        <v>2023</v>
      </c>
      <c r="O843">
        <f>_xlfn.MAXIFS(Table1[[#This Row],[Total Shipped]]:Table1[[#This Row],[Total Sales]],Table1[[#This Row],[Total Shipped]]:Table1[[#This Row],[Total Sales]],"&lt;&gt;#N/A")</f>
        <v>3.31</v>
      </c>
      <c r="P843">
        <f>_xlfn.MAXIFS(Table1[[#This Row],[VGChartz Score]:[User Score]],Table1[[#This Row],[VGChartz Score]:[User Score]],"&lt;&gt;#N/A")</f>
        <v>8</v>
      </c>
    </row>
    <row r="844" spans="1:16" hidden="1" x14ac:dyDescent="0.2">
      <c r="A844">
        <f t="shared" si="17"/>
        <v>843</v>
      </c>
      <c r="B844">
        <v>43</v>
      </c>
      <c r="C844" t="s">
        <v>138</v>
      </c>
      <c r="D844" t="s">
        <v>117</v>
      </c>
      <c r="E844" t="s">
        <v>139</v>
      </c>
      <c r="F844" t="s">
        <v>1</v>
      </c>
      <c r="G844">
        <v>9</v>
      </c>
      <c r="H844" t="e">
        <v>#N/A</v>
      </c>
      <c r="I844" t="e">
        <v>#N/A</v>
      </c>
      <c r="J844" s="1">
        <v>3.04</v>
      </c>
      <c r="K844" s="1" t="e">
        <v>#N/A</v>
      </c>
      <c r="L844" t="s">
        <v>118</v>
      </c>
      <c r="M844" t="s">
        <v>49</v>
      </c>
      <c r="N844">
        <f>2000+RIGHT(Table1[[#This Row],[Release Date]],2)</f>
        <v>2021</v>
      </c>
      <c r="O844">
        <f>_xlfn.MAXIFS(Table1[[#This Row],[Total Shipped]]:Table1[[#This Row],[Total Sales]],Table1[[#This Row],[Total Shipped]]:Table1[[#This Row],[Total Sales]],"&lt;&gt;#N/A")</f>
        <v>3.04</v>
      </c>
      <c r="P844">
        <f>_xlfn.MAXIFS(Table1[[#This Row],[VGChartz Score]:[User Score]],Table1[[#This Row],[VGChartz Score]:[User Score]],"&lt;&gt;#N/A")</f>
        <v>9</v>
      </c>
    </row>
    <row r="845" spans="1:16" hidden="1" x14ac:dyDescent="0.2">
      <c r="A845">
        <f t="shared" si="17"/>
        <v>844</v>
      </c>
      <c r="B845">
        <v>44</v>
      </c>
      <c r="C845" t="s">
        <v>138</v>
      </c>
      <c r="D845" t="s">
        <v>119</v>
      </c>
      <c r="E845" t="s">
        <v>139</v>
      </c>
      <c r="F845" t="s">
        <v>1</v>
      </c>
      <c r="G845" t="e">
        <v>#N/A</v>
      </c>
      <c r="H845">
        <v>7.9</v>
      </c>
      <c r="I845" t="e">
        <v>#N/A</v>
      </c>
      <c r="J845" s="2">
        <v>2.72</v>
      </c>
      <c r="K845" s="2" t="e">
        <v>#N/A</v>
      </c>
      <c r="L845" t="s">
        <v>120</v>
      </c>
      <c r="M845" t="s">
        <v>3</v>
      </c>
      <c r="N845">
        <f>2000+RIGHT(Table1[[#This Row],[Release Date]],2)</f>
        <v>2017</v>
      </c>
      <c r="O845">
        <f>_xlfn.MAXIFS(Table1[[#This Row],[Total Shipped]]:Table1[[#This Row],[Total Sales]],Table1[[#This Row],[Total Shipped]]:Table1[[#This Row],[Total Sales]],"&lt;&gt;#N/A")</f>
        <v>2.72</v>
      </c>
      <c r="P845">
        <f>_xlfn.MAXIFS(Table1[[#This Row],[VGChartz Score]:[User Score]],Table1[[#This Row],[VGChartz Score]:[User Score]],"&lt;&gt;#N/A")</f>
        <v>7.9</v>
      </c>
    </row>
    <row r="846" spans="1:16" hidden="1" x14ac:dyDescent="0.2">
      <c r="A846">
        <f t="shared" si="17"/>
        <v>845</v>
      </c>
      <c r="B846">
        <v>45</v>
      </c>
      <c r="C846" t="s">
        <v>138</v>
      </c>
      <c r="D846" t="s">
        <v>121</v>
      </c>
      <c r="E846" t="s">
        <v>139</v>
      </c>
      <c r="F846" t="s">
        <v>1</v>
      </c>
      <c r="G846" t="e">
        <v>#N/A</v>
      </c>
      <c r="H846">
        <v>8.1999999999999993</v>
      </c>
      <c r="I846">
        <v>9.1999999999999993</v>
      </c>
      <c r="J846" s="1">
        <v>2.7</v>
      </c>
      <c r="K846" s="1" t="e">
        <v>#N/A</v>
      </c>
      <c r="L846" t="s">
        <v>122</v>
      </c>
      <c r="M846" t="s">
        <v>123</v>
      </c>
      <c r="N846">
        <f>2000+RIGHT(Table1[[#This Row],[Release Date]],2)</f>
        <v>2017</v>
      </c>
      <c r="O846">
        <f>_xlfn.MAXIFS(Table1[[#This Row],[Total Shipped]]:Table1[[#This Row],[Total Sales]],Table1[[#This Row],[Total Shipped]]:Table1[[#This Row],[Total Sales]],"&lt;&gt;#N/A")</f>
        <v>2.7</v>
      </c>
      <c r="P846">
        <f>_xlfn.MAXIFS(Table1[[#This Row],[VGChartz Score]:[User Score]],Table1[[#This Row],[VGChartz Score]:[User Score]],"&lt;&gt;#N/A")</f>
        <v>9.1999999999999993</v>
      </c>
    </row>
    <row r="847" spans="1:16" x14ac:dyDescent="0.2">
      <c r="A847">
        <f t="shared" si="17"/>
        <v>846</v>
      </c>
      <c r="B847">
        <v>46</v>
      </c>
      <c r="C847" t="s">
        <v>138</v>
      </c>
      <c r="D847" t="s">
        <v>124</v>
      </c>
      <c r="E847" t="s">
        <v>139</v>
      </c>
      <c r="F847" t="s">
        <v>1</v>
      </c>
      <c r="G847">
        <v>5.5</v>
      </c>
      <c r="H847" t="e">
        <v>#N/A</v>
      </c>
      <c r="I847" t="e">
        <v>#N/A</v>
      </c>
      <c r="J847" s="2">
        <v>2.54</v>
      </c>
      <c r="K847" s="2" t="e">
        <v>#N/A</v>
      </c>
      <c r="L847" t="s">
        <v>125</v>
      </c>
      <c r="M847" t="s">
        <v>30</v>
      </c>
      <c r="N847">
        <f>2000+RIGHT(Table1[[#This Row],[Release Date]],2)</f>
        <v>2022</v>
      </c>
      <c r="O847">
        <f>_xlfn.MAXIFS(Table1[[#This Row],[Total Shipped]]:Table1[[#This Row],[Total Sales]],Table1[[#This Row],[Total Shipped]]:Table1[[#This Row],[Total Sales]],"&lt;&gt;#N/A")</f>
        <v>2.54</v>
      </c>
      <c r="P847">
        <f>_xlfn.MAXIFS(Table1[[#This Row],[VGChartz Score]:[User Score]],Table1[[#This Row],[VGChartz Score]:[User Score]],"&lt;&gt;#N/A")</f>
        <v>5.5</v>
      </c>
    </row>
    <row r="848" spans="1:16" hidden="1" x14ac:dyDescent="0.2">
      <c r="A848">
        <f t="shared" si="17"/>
        <v>847</v>
      </c>
      <c r="B848">
        <v>47</v>
      </c>
      <c r="C848" t="s">
        <v>138</v>
      </c>
      <c r="D848" t="s">
        <v>126</v>
      </c>
      <c r="E848" t="s">
        <v>139</v>
      </c>
      <c r="F848" t="s">
        <v>1</v>
      </c>
      <c r="G848">
        <v>5</v>
      </c>
      <c r="H848" t="e">
        <v>#N/A</v>
      </c>
      <c r="I848" t="e">
        <v>#N/A</v>
      </c>
      <c r="J848" s="1">
        <v>2.48</v>
      </c>
      <c r="K848" s="1" t="e">
        <v>#N/A</v>
      </c>
      <c r="L848" t="s">
        <v>127</v>
      </c>
      <c r="M848" t="s">
        <v>57</v>
      </c>
      <c r="N848">
        <f>2000+RIGHT(Table1[[#This Row],[Release Date]],2)</f>
        <v>2021</v>
      </c>
      <c r="O848">
        <f>_xlfn.MAXIFS(Table1[[#This Row],[Total Shipped]]:Table1[[#This Row],[Total Sales]],Table1[[#This Row],[Total Shipped]]:Table1[[#This Row],[Total Sales]],"&lt;&gt;#N/A")</f>
        <v>2.48</v>
      </c>
      <c r="P848">
        <f>_xlfn.MAXIFS(Table1[[#This Row],[VGChartz Score]:[User Score]],Table1[[#This Row],[VGChartz Score]:[User Score]],"&lt;&gt;#N/A")</f>
        <v>5</v>
      </c>
    </row>
    <row r="849" spans="1:16" hidden="1" x14ac:dyDescent="0.2">
      <c r="A849">
        <f t="shared" si="17"/>
        <v>848</v>
      </c>
      <c r="B849">
        <v>48</v>
      </c>
      <c r="C849" t="s">
        <v>138</v>
      </c>
      <c r="D849" t="s">
        <v>128</v>
      </c>
      <c r="E849" t="s">
        <v>139</v>
      </c>
      <c r="F849" t="s">
        <v>129</v>
      </c>
      <c r="G849" t="e">
        <v>#N/A</v>
      </c>
      <c r="H849">
        <v>9</v>
      </c>
      <c r="I849" t="e">
        <v>#N/A</v>
      </c>
      <c r="J849" s="2">
        <v>2.4300000000000002</v>
      </c>
      <c r="K849" s="2" t="e">
        <v>#N/A</v>
      </c>
      <c r="L849" t="s">
        <v>130</v>
      </c>
      <c r="M849" t="s">
        <v>131</v>
      </c>
      <c r="N849">
        <f>2000+RIGHT(Table1[[#This Row],[Release Date]],2)</f>
        <v>2018</v>
      </c>
      <c r="O849">
        <f>_xlfn.MAXIFS(Table1[[#This Row],[Total Shipped]]:Table1[[#This Row],[Total Sales]],Table1[[#This Row],[Total Shipped]]:Table1[[#This Row],[Total Sales]],"&lt;&gt;#N/A")</f>
        <v>2.4300000000000002</v>
      </c>
      <c r="P849">
        <f>_xlfn.MAXIFS(Table1[[#This Row],[VGChartz Score]:[User Score]],Table1[[#This Row],[VGChartz Score]:[User Score]],"&lt;&gt;#N/A")</f>
        <v>9</v>
      </c>
    </row>
    <row r="850" spans="1:16" hidden="1" x14ac:dyDescent="0.2">
      <c r="A850">
        <f t="shared" si="17"/>
        <v>849</v>
      </c>
      <c r="B850">
        <v>49</v>
      </c>
      <c r="C850" t="s">
        <v>138</v>
      </c>
      <c r="D850" t="s">
        <v>132</v>
      </c>
      <c r="E850" t="s">
        <v>139</v>
      </c>
      <c r="F850" t="s">
        <v>1</v>
      </c>
      <c r="G850" t="e">
        <v>#N/A</v>
      </c>
      <c r="H850" t="e">
        <v>#N/A</v>
      </c>
      <c r="I850" t="e">
        <v>#N/A</v>
      </c>
      <c r="J850" s="1">
        <v>2.4</v>
      </c>
      <c r="K850" s="1" t="e">
        <v>#N/A</v>
      </c>
      <c r="L850" t="s">
        <v>133</v>
      </c>
      <c r="M850" t="s">
        <v>134</v>
      </c>
      <c r="N850">
        <f>2000+RIGHT(Table1[[#This Row],[Release Date]],2)</f>
        <v>2021</v>
      </c>
      <c r="O850">
        <f>_xlfn.MAXIFS(Table1[[#This Row],[Total Shipped]]:Table1[[#This Row],[Total Sales]],Table1[[#This Row],[Total Shipped]]:Table1[[#This Row],[Total Sales]],"&lt;&gt;#N/A")</f>
        <v>2.4</v>
      </c>
      <c r="P850">
        <f>_xlfn.MAXIFS(Table1[[#This Row],[VGChartz Score]:[User Score]],Table1[[#This Row],[VGChartz Score]:[User Score]],"&lt;&gt;#N/A")</f>
        <v>0</v>
      </c>
    </row>
    <row r="851" spans="1:16" hidden="1" x14ac:dyDescent="0.2">
      <c r="A851">
        <f t="shared" si="17"/>
        <v>850</v>
      </c>
      <c r="B851">
        <v>50</v>
      </c>
      <c r="C851" t="s">
        <v>138</v>
      </c>
      <c r="D851" t="s">
        <v>135</v>
      </c>
      <c r="E851" t="s">
        <v>139</v>
      </c>
      <c r="F851" t="s">
        <v>1</v>
      </c>
      <c r="G851" t="e">
        <v>#N/A</v>
      </c>
      <c r="H851" t="e">
        <v>#N/A</v>
      </c>
      <c r="I851" t="e">
        <v>#N/A</v>
      </c>
      <c r="J851" s="2">
        <v>2.4</v>
      </c>
      <c r="K851" s="2" t="e">
        <v>#N/A</v>
      </c>
      <c r="L851" t="s">
        <v>136</v>
      </c>
      <c r="M851" t="s">
        <v>137</v>
      </c>
      <c r="N851">
        <f>2000+RIGHT(Table1[[#This Row],[Release Date]],2)</f>
        <v>2020</v>
      </c>
      <c r="O851">
        <f>_xlfn.MAXIFS(Table1[[#This Row],[Total Shipped]]:Table1[[#This Row],[Total Sales]],Table1[[#This Row],[Total Shipped]]:Table1[[#This Row],[Total Sales]],"&lt;&gt;#N/A")</f>
        <v>2.4</v>
      </c>
      <c r="P851">
        <f>_xlfn.MAXIFS(Table1[[#This Row],[VGChartz Score]:[User Score]],Table1[[#This Row],[VGChartz Score]:[User Score]],"&lt;&gt;#N/A")</f>
        <v>0</v>
      </c>
    </row>
    <row r="852" spans="1:16" hidden="1" x14ac:dyDescent="0.2">
      <c r="A852">
        <f t="shared" si="17"/>
        <v>851</v>
      </c>
      <c r="B852">
        <v>51</v>
      </c>
      <c r="C852" t="s">
        <v>138</v>
      </c>
      <c r="D852" t="s">
        <v>140</v>
      </c>
      <c r="E852" t="s">
        <v>139</v>
      </c>
      <c r="F852" t="s">
        <v>1</v>
      </c>
      <c r="G852" t="e">
        <v>#N/A</v>
      </c>
      <c r="H852">
        <v>8.1</v>
      </c>
      <c r="I852" t="e">
        <v>#N/A</v>
      </c>
      <c r="J852" s="1">
        <v>2.35</v>
      </c>
      <c r="K852" s="1" t="e">
        <v>#N/A</v>
      </c>
      <c r="L852" t="s">
        <v>141</v>
      </c>
      <c r="M852" t="s">
        <v>142</v>
      </c>
      <c r="N852">
        <f>2000+RIGHT(Table1[[#This Row],[Release Date]],2)</f>
        <v>2018</v>
      </c>
      <c r="O852">
        <f>_xlfn.MAXIFS(Table1[[#This Row],[Total Shipped]]:Table1[[#This Row],[Total Sales]],Table1[[#This Row],[Total Shipped]]:Table1[[#This Row],[Total Sales]],"&lt;&gt;#N/A")</f>
        <v>2.35</v>
      </c>
      <c r="P852">
        <f>_xlfn.MAXIFS(Table1[[#This Row],[VGChartz Score]:[User Score]],Table1[[#This Row],[VGChartz Score]:[User Score]],"&lt;&gt;#N/A")</f>
        <v>8.1</v>
      </c>
    </row>
    <row r="853" spans="1:16" hidden="1" x14ac:dyDescent="0.2">
      <c r="A853">
        <f t="shared" si="17"/>
        <v>852</v>
      </c>
      <c r="B853">
        <v>52</v>
      </c>
      <c r="C853" t="s">
        <v>138</v>
      </c>
      <c r="D853" t="s">
        <v>143</v>
      </c>
      <c r="E853" t="s">
        <v>139</v>
      </c>
      <c r="F853" t="s">
        <v>144</v>
      </c>
      <c r="G853" t="e">
        <v>#N/A</v>
      </c>
      <c r="H853">
        <v>7.5</v>
      </c>
      <c r="I853" t="e">
        <v>#N/A</v>
      </c>
      <c r="J853" s="2">
        <v>2.2400000000000002</v>
      </c>
      <c r="K853" s="2" t="e">
        <v>#N/A</v>
      </c>
      <c r="L853" t="s">
        <v>145</v>
      </c>
      <c r="M853" t="s">
        <v>146</v>
      </c>
      <c r="N853">
        <f>2000+RIGHT(Table1[[#This Row],[Release Date]],2)</f>
        <v>2018</v>
      </c>
      <c r="O853">
        <f>_xlfn.MAXIFS(Table1[[#This Row],[Total Shipped]]:Table1[[#This Row],[Total Sales]],Table1[[#This Row],[Total Shipped]]:Table1[[#This Row],[Total Sales]],"&lt;&gt;#N/A")</f>
        <v>2.2400000000000002</v>
      </c>
      <c r="P853">
        <f>_xlfn.MAXIFS(Table1[[#This Row],[VGChartz Score]:[User Score]],Table1[[#This Row],[VGChartz Score]:[User Score]],"&lt;&gt;#N/A")</f>
        <v>7.5</v>
      </c>
    </row>
    <row r="854" spans="1:16" hidden="1" x14ac:dyDescent="0.2">
      <c r="A854">
        <f t="shared" si="17"/>
        <v>853</v>
      </c>
      <c r="B854">
        <v>53</v>
      </c>
      <c r="C854" t="s">
        <v>138</v>
      </c>
      <c r="D854" t="s">
        <v>147</v>
      </c>
      <c r="E854" t="s">
        <v>139</v>
      </c>
      <c r="F854" t="s">
        <v>1</v>
      </c>
      <c r="G854" t="e">
        <v>#N/A</v>
      </c>
      <c r="H854" t="e">
        <v>#N/A</v>
      </c>
      <c r="I854" t="e">
        <v>#N/A</v>
      </c>
      <c r="J854" s="1">
        <v>2.1</v>
      </c>
      <c r="K854" s="1" t="e">
        <v>#N/A</v>
      </c>
      <c r="L854" t="s">
        <v>148</v>
      </c>
      <c r="M854" t="s">
        <v>149</v>
      </c>
      <c r="N854">
        <f>2000+RIGHT(Table1[[#This Row],[Release Date]],2)</f>
        <v>2024</v>
      </c>
      <c r="O854">
        <f>_xlfn.MAXIFS(Table1[[#This Row],[Total Shipped]]:Table1[[#This Row],[Total Sales]],Table1[[#This Row],[Total Shipped]]:Table1[[#This Row],[Total Sales]],"&lt;&gt;#N/A")</f>
        <v>2.1</v>
      </c>
      <c r="P854">
        <f>_xlfn.MAXIFS(Table1[[#This Row],[VGChartz Score]:[User Score]],Table1[[#This Row],[VGChartz Score]:[User Score]],"&lt;&gt;#N/A")</f>
        <v>0</v>
      </c>
    </row>
    <row r="855" spans="1:16" hidden="1" x14ac:dyDescent="0.2">
      <c r="A855">
        <f t="shared" si="17"/>
        <v>854</v>
      </c>
      <c r="B855">
        <v>54</v>
      </c>
      <c r="C855" t="s">
        <v>138</v>
      </c>
      <c r="D855" t="s">
        <v>150</v>
      </c>
      <c r="E855" t="s">
        <v>139</v>
      </c>
      <c r="F855" t="s">
        <v>151</v>
      </c>
      <c r="G855" t="e">
        <v>#N/A</v>
      </c>
      <c r="H855">
        <v>8.3000000000000007</v>
      </c>
      <c r="I855" t="e">
        <v>#N/A</v>
      </c>
      <c r="J855" s="2">
        <v>2</v>
      </c>
      <c r="K855" s="2" t="e">
        <v>#N/A</v>
      </c>
      <c r="L855" t="s">
        <v>152</v>
      </c>
      <c r="M855" t="s">
        <v>153</v>
      </c>
      <c r="N855">
        <f>2000+RIGHT(Table1[[#This Row],[Release Date]],2)</f>
        <v>2017</v>
      </c>
      <c r="O855">
        <f>_xlfn.MAXIFS(Table1[[#This Row],[Total Shipped]]:Table1[[#This Row],[Total Sales]],Table1[[#This Row],[Total Shipped]]:Table1[[#This Row],[Total Sales]],"&lt;&gt;#N/A")</f>
        <v>2</v>
      </c>
      <c r="P855">
        <f>_xlfn.MAXIFS(Table1[[#This Row],[VGChartz Score]:[User Score]],Table1[[#This Row],[VGChartz Score]:[User Score]],"&lt;&gt;#N/A")</f>
        <v>8.3000000000000007</v>
      </c>
    </row>
    <row r="856" spans="1:16" hidden="1" x14ac:dyDescent="0.2">
      <c r="A856">
        <f t="shared" si="17"/>
        <v>855</v>
      </c>
      <c r="B856">
        <v>55</v>
      </c>
      <c r="C856" t="s">
        <v>138</v>
      </c>
      <c r="D856" t="s">
        <v>154</v>
      </c>
      <c r="E856" t="s">
        <v>139</v>
      </c>
      <c r="F856" t="s">
        <v>1</v>
      </c>
      <c r="G856" t="e">
        <v>#N/A</v>
      </c>
      <c r="H856" t="e">
        <v>#N/A</v>
      </c>
      <c r="I856">
        <v>7</v>
      </c>
      <c r="J856" s="1">
        <v>1.99</v>
      </c>
      <c r="K856" s="1" t="e">
        <v>#N/A</v>
      </c>
      <c r="L856" t="s">
        <v>155</v>
      </c>
      <c r="M856" t="s">
        <v>137</v>
      </c>
      <c r="N856">
        <f>2000+RIGHT(Table1[[#This Row],[Release Date]],2)</f>
        <v>2020</v>
      </c>
      <c r="O856">
        <f>_xlfn.MAXIFS(Table1[[#This Row],[Total Shipped]]:Table1[[#This Row],[Total Sales]],Table1[[#This Row],[Total Shipped]]:Table1[[#This Row],[Total Sales]],"&lt;&gt;#N/A")</f>
        <v>1.99</v>
      </c>
      <c r="P856">
        <f>_xlfn.MAXIFS(Table1[[#This Row],[VGChartz Score]:[User Score]],Table1[[#This Row],[VGChartz Score]:[User Score]],"&lt;&gt;#N/A")</f>
        <v>7</v>
      </c>
    </row>
    <row r="857" spans="1:16" hidden="1" x14ac:dyDescent="0.2">
      <c r="A857">
        <f t="shared" si="17"/>
        <v>856</v>
      </c>
      <c r="B857">
        <v>56</v>
      </c>
      <c r="C857" t="s">
        <v>138</v>
      </c>
      <c r="D857" t="s">
        <v>156</v>
      </c>
      <c r="E857" t="s">
        <v>139</v>
      </c>
      <c r="F857" t="s">
        <v>1</v>
      </c>
      <c r="G857" t="e">
        <v>#N/A</v>
      </c>
      <c r="H857" t="e">
        <v>#N/A</v>
      </c>
      <c r="I857" t="e">
        <v>#N/A</v>
      </c>
      <c r="J857" s="2">
        <v>1.97</v>
      </c>
      <c r="K857" s="2" t="e">
        <v>#N/A</v>
      </c>
      <c r="L857" t="s">
        <v>157</v>
      </c>
      <c r="M857" t="s">
        <v>77</v>
      </c>
      <c r="N857">
        <f>2000+RIGHT(Table1[[#This Row],[Release Date]],2)</f>
        <v>2024</v>
      </c>
      <c r="O857">
        <f>_xlfn.MAXIFS(Table1[[#This Row],[Total Shipped]]:Table1[[#This Row],[Total Sales]],Table1[[#This Row],[Total Shipped]]:Table1[[#This Row],[Total Sales]],"&lt;&gt;#N/A")</f>
        <v>1.97</v>
      </c>
      <c r="P857">
        <f>_xlfn.MAXIFS(Table1[[#This Row],[VGChartz Score]:[User Score]],Table1[[#This Row],[VGChartz Score]:[User Score]],"&lt;&gt;#N/A")</f>
        <v>0</v>
      </c>
    </row>
    <row r="858" spans="1:16" hidden="1" x14ac:dyDescent="0.2">
      <c r="A858">
        <f t="shared" si="17"/>
        <v>857</v>
      </c>
      <c r="B858">
        <v>57</v>
      </c>
      <c r="C858" t="s">
        <v>138</v>
      </c>
      <c r="D858" t="s">
        <v>158</v>
      </c>
      <c r="E858" t="s">
        <v>139</v>
      </c>
      <c r="F858" t="s">
        <v>1</v>
      </c>
      <c r="G858" t="e">
        <v>#N/A</v>
      </c>
      <c r="H858" t="e">
        <v>#N/A</v>
      </c>
      <c r="I858" t="e">
        <v>#N/A</v>
      </c>
      <c r="J858" s="1">
        <v>1.94</v>
      </c>
      <c r="K858" s="1" t="e">
        <v>#N/A</v>
      </c>
      <c r="L858" t="s">
        <v>159</v>
      </c>
      <c r="M858" t="s">
        <v>160</v>
      </c>
      <c r="N858">
        <f>2000+RIGHT(Table1[[#This Row],[Release Date]],2)</f>
        <v>2021</v>
      </c>
      <c r="O858">
        <f>_xlfn.MAXIFS(Table1[[#This Row],[Total Shipped]]:Table1[[#This Row],[Total Sales]],Table1[[#This Row],[Total Shipped]]:Table1[[#This Row],[Total Sales]],"&lt;&gt;#N/A")</f>
        <v>1.94</v>
      </c>
      <c r="P858">
        <f>_xlfn.MAXIFS(Table1[[#This Row],[VGChartz Score]:[User Score]],Table1[[#This Row],[VGChartz Score]:[User Score]],"&lt;&gt;#N/A")</f>
        <v>0</v>
      </c>
    </row>
    <row r="859" spans="1:16" hidden="1" x14ac:dyDescent="0.2">
      <c r="A859">
        <f t="shared" si="17"/>
        <v>858</v>
      </c>
      <c r="B859">
        <v>58</v>
      </c>
      <c r="C859" t="s">
        <v>138</v>
      </c>
      <c r="D859" t="s">
        <v>161</v>
      </c>
      <c r="E859" t="s">
        <v>139</v>
      </c>
      <c r="F859" t="s">
        <v>1</v>
      </c>
      <c r="G859">
        <v>9</v>
      </c>
      <c r="H859">
        <v>8.1</v>
      </c>
      <c r="I859" t="e">
        <v>#N/A</v>
      </c>
      <c r="J859" s="2">
        <v>1.9</v>
      </c>
      <c r="K859" s="2" t="e">
        <v>#N/A</v>
      </c>
      <c r="L859" t="s">
        <v>141</v>
      </c>
      <c r="M859" t="s">
        <v>162</v>
      </c>
      <c r="N859">
        <f>2000+RIGHT(Table1[[#This Row],[Release Date]],2)</f>
        <v>2018</v>
      </c>
      <c r="O859">
        <f>_xlfn.MAXIFS(Table1[[#This Row],[Total Shipped]]:Table1[[#This Row],[Total Sales]],Table1[[#This Row],[Total Shipped]]:Table1[[#This Row],[Total Sales]],"&lt;&gt;#N/A")</f>
        <v>1.9</v>
      </c>
      <c r="P859">
        <f>_xlfn.MAXIFS(Table1[[#This Row],[VGChartz Score]:[User Score]],Table1[[#This Row],[VGChartz Score]:[User Score]],"&lt;&gt;#N/A")</f>
        <v>9</v>
      </c>
    </row>
    <row r="860" spans="1:16" hidden="1" x14ac:dyDescent="0.2">
      <c r="A860">
        <f t="shared" si="17"/>
        <v>859</v>
      </c>
      <c r="B860">
        <v>59</v>
      </c>
      <c r="C860" t="s">
        <v>138</v>
      </c>
      <c r="D860" t="s">
        <v>163</v>
      </c>
      <c r="E860" t="s">
        <v>139</v>
      </c>
      <c r="F860" t="s">
        <v>164</v>
      </c>
      <c r="G860" t="e">
        <v>#N/A</v>
      </c>
      <c r="H860">
        <v>9.1999999999999993</v>
      </c>
      <c r="I860" t="e">
        <v>#N/A</v>
      </c>
      <c r="J860" s="1" t="e">
        <v>#N/A</v>
      </c>
      <c r="K860" s="1">
        <v>1.89</v>
      </c>
      <c r="L860" t="s">
        <v>165</v>
      </c>
      <c r="M860" t="s">
        <v>166</v>
      </c>
      <c r="N860">
        <f>2000+RIGHT(Table1[[#This Row],[Release Date]],2)</f>
        <v>2018</v>
      </c>
      <c r="O860">
        <f>_xlfn.MAXIFS(Table1[[#This Row],[Total Shipped]]:Table1[[#This Row],[Total Sales]],Table1[[#This Row],[Total Shipped]]:Table1[[#This Row],[Total Sales]],"&lt;&gt;#N/A")</f>
        <v>1.89</v>
      </c>
      <c r="P860">
        <f>_xlfn.MAXIFS(Table1[[#This Row],[VGChartz Score]:[User Score]],Table1[[#This Row],[VGChartz Score]:[User Score]],"&lt;&gt;#N/A")</f>
        <v>9.1999999999999993</v>
      </c>
    </row>
    <row r="861" spans="1:16" hidden="1" x14ac:dyDescent="0.2">
      <c r="A861">
        <f t="shared" si="17"/>
        <v>860</v>
      </c>
      <c r="B861">
        <v>60</v>
      </c>
      <c r="C861" t="s">
        <v>138</v>
      </c>
      <c r="D861" t="s">
        <v>167</v>
      </c>
      <c r="E861" t="s">
        <v>139</v>
      </c>
      <c r="F861" t="s">
        <v>1</v>
      </c>
      <c r="G861" t="e">
        <v>#N/A</v>
      </c>
      <c r="H861" t="e">
        <v>#N/A</v>
      </c>
      <c r="I861" t="e">
        <v>#N/A</v>
      </c>
      <c r="J861" s="2">
        <v>1.88</v>
      </c>
      <c r="K861" s="2" t="e">
        <v>#N/A</v>
      </c>
      <c r="L861" t="s">
        <v>168</v>
      </c>
      <c r="M861" t="s">
        <v>149</v>
      </c>
      <c r="N861">
        <f>2000+RIGHT(Table1[[#This Row],[Release Date]],2)</f>
        <v>2024</v>
      </c>
      <c r="O861">
        <f>_xlfn.MAXIFS(Table1[[#This Row],[Total Shipped]]:Table1[[#This Row],[Total Sales]],Table1[[#This Row],[Total Shipped]]:Table1[[#This Row],[Total Sales]],"&lt;&gt;#N/A")</f>
        <v>1.88</v>
      </c>
      <c r="P861">
        <f>_xlfn.MAXIFS(Table1[[#This Row],[VGChartz Score]:[User Score]],Table1[[#This Row],[VGChartz Score]:[User Score]],"&lt;&gt;#N/A")</f>
        <v>0</v>
      </c>
    </row>
    <row r="862" spans="1:16" hidden="1" x14ac:dyDescent="0.2">
      <c r="A862">
        <f t="shared" si="17"/>
        <v>861</v>
      </c>
      <c r="B862">
        <v>61</v>
      </c>
      <c r="C862" t="s">
        <v>138</v>
      </c>
      <c r="D862" t="s">
        <v>169</v>
      </c>
      <c r="E862" t="s">
        <v>139</v>
      </c>
      <c r="F862" t="s">
        <v>1</v>
      </c>
      <c r="G862">
        <v>7.5</v>
      </c>
      <c r="H862" t="e">
        <v>#N/A</v>
      </c>
      <c r="I862" t="e">
        <v>#N/A</v>
      </c>
      <c r="J862" s="1">
        <v>1.88</v>
      </c>
      <c r="K862" s="1" t="e">
        <v>#N/A</v>
      </c>
      <c r="L862" t="s">
        <v>170</v>
      </c>
      <c r="M862" t="s">
        <v>171</v>
      </c>
      <c r="N862">
        <f>2000+RIGHT(Table1[[#This Row],[Release Date]],2)</f>
        <v>2020</v>
      </c>
      <c r="O862">
        <f>_xlfn.MAXIFS(Table1[[#This Row],[Total Shipped]]:Table1[[#This Row],[Total Sales]],Table1[[#This Row],[Total Shipped]]:Table1[[#This Row],[Total Sales]],"&lt;&gt;#N/A")</f>
        <v>1.88</v>
      </c>
      <c r="P862">
        <f>_xlfn.MAXIFS(Table1[[#This Row],[VGChartz Score]:[User Score]],Table1[[#This Row],[VGChartz Score]:[User Score]],"&lt;&gt;#N/A")</f>
        <v>7.5</v>
      </c>
    </row>
    <row r="863" spans="1:16" x14ac:dyDescent="0.2">
      <c r="A863">
        <f t="shared" si="17"/>
        <v>862</v>
      </c>
      <c r="B863">
        <v>62</v>
      </c>
      <c r="C863" t="s">
        <v>138</v>
      </c>
      <c r="D863" t="s">
        <v>172</v>
      </c>
      <c r="E863" t="s">
        <v>139</v>
      </c>
      <c r="F863" t="s">
        <v>1</v>
      </c>
      <c r="G863">
        <v>9</v>
      </c>
      <c r="H863" t="e">
        <v>#N/A</v>
      </c>
      <c r="I863" t="e">
        <v>#N/A</v>
      </c>
      <c r="J863" s="2">
        <v>1.86</v>
      </c>
      <c r="K863" s="2" t="e">
        <v>#N/A</v>
      </c>
      <c r="L863" t="s">
        <v>173</v>
      </c>
      <c r="M863" t="s">
        <v>30</v>
      </c>
      <c r="N863">
        <f>2000+RIGHT(Table1[[#This Row],[Release Date]],2)</f>
        <v>2022</v>
      </c>
      <c r="O863">
        <f>_xlfn.MAXIFS(Table1[[#This Row],[Total Shipped]]:Table1[[#This Row],[Total Sales]],Table1[[#This Row],[Total Shipped]]:Table1[[#This Row],[Total Sales]],"&lt;&gt;#N/A")</f>
        <v>1.86</v>
      </c>
      <c r="P863">
        <f>_xlfn.MAXIFS(Table1[[#This Row],[VGChartz Score]:[User Score]],Table1[[#This Row],[VGChartz Score]:[User Score]],"&lt;&gt;#N/A")</f>
        <v>9</v>
      </c>
    </row>
    <row r="864" spans="1:16" hidden="1" x14ac:dyDescent="0.2">
      <c r="A864">
        <f t="shared" si="17"/>
        <v>863</v>
      </c>
      <c r="B864">
        <v>63</v>
      </c>
      <c r="C864" t="s">
        <v>138</v>
      </c>
      <c r="D864" t="s">
        <v>174</v>
      </c>
      <c r="E864" t="s">
        <v>139</v>
      </c>
      <c r="F864" t="s">
        <v>175</v>
      </c>
      <c r="G864" t="e">
        <v>#N/A</v>
      </c>
      <c r="H864">
        <v>8</v>
      </c>
      <c r="I864" t="e">
        <v>#N/A</v>
      </c>
      <c r="J864" s="1">
        <v>1.82</v>
      </c>
      <c r="K864" s="1" t="e">
        <v>#N/A</v>
      </c>
      <c r="L864" t="s">
        <v>176</v>
      </c>
      <c r="M864" t="s">
        <v>123</v>
      </c>
      <c r="N864">
        <f>2000+RIGHT(Table1[[#This Row],[Release Date]],2)</f>
        <v>2017</v>
      </c>
      <c r="O864">
        <f>_xlfn.MAXIFS(Table1[[#This Row],[Total Shipped]]:Table1[[#This Row],[Total Sales]],Table1[[#This Row],[Total Shipped]]:Table1[[#This Row],[Total Sales]],"&lt;&gt;#N/A")</f>
        <v>1.82</v>
      </c>
      <c r="P864">
        <f>_xlfn.MAXIFS(Table1[[#This Row],[VGChartz Score]:[User Score]],Table1[[#This Row],[VGChartz Score]:[User Score]],"&lt;&gt;#N/A")</f>
        <v>8</v>
      </c>
    </row>
    <row r="865" spans="1:16" hidden="1" x14ac:dyDescent="0.2">
      <c r="A865">
        <f t="shared" si="17"/>
        <v>864</v>
      </c>
      <c r="B865">
        <v>64</v>
      </c>
      <c r="C865" t="s">
        <v>138</v>
      </c>
      <c r="D865" t="s">
        <v>177</v>
      </c>
      <c r="E865" t="s">
        <v>139</v>
      </c>
      <c r="F865" t="s">
        <v>1</v>
      </c>
      <c r="G865" t="e">
        <v>#N/A</v>
      </c>
      <c r="H865" t="e">
        <v>#N/A</v>
      </c>
      <c r="I865" t="e">
        <v>#N/A</v>
      </c>
      <c r="J865" s="2">
        <v>1.79</v>
      </c>
      <c r="K865" s="2" t="e">
        <v>#N/A</v>
      </c>
      <c r="L865" t="s">
        <v>178</v>
      </c>
      <c r="M865" t="s">
        <v>94</v>
      </c>
      <c r="N865">
        <f>2000+RIGHT(Table1[[#This Row],[Release Date]],2)</f>
        <v>2021</v>
      </c>
      <c r="O865">
        <f>_xlfn.MAXIFS(Table1[[#This Row],[Total Shipped]]:Table1[[#This Row],[Total Sales]],Table1[[#This Row],[Total Shipped]]:Table1[[#This Row],[Total Sales]],"&lt;&gt;#N/A")</f>
        <v>1.79</v>
      </c>
      <c r="P865">
        <f>_xlfn.MAXIFS(Table1[[#This Row],[VGChartz Score]:[User Score]],Table1[[#This Row],[VGChartz Score]:[User Score]],"&lt;&gt;#N/A")</f>
        <v>0</v>
      </c>
    </row>
    <row r="866" spans="1:16" hidden="1" x14ac:dyDescent="0.2">
      <c r="A866">
        <f t="shared" si="17"/>
        <v>865</v>
      </c>
      <c r="B866">
        <v>65</v>
      </c>
      <c r="C866" t="s">
        <v>138</v>
      </c>
      <c r="D866" t="s">
        <v>179</v>
      </c>
      <c r="E866" t="s">
        <v>139</v>
      </c>
      <c r="F866" t="s">
        <v>1</v>
      </c>
      <c r="G866" t="e">
        <v>#N/A</v>
      </c>
      <c r="H866" t="e">
        <v>#N/A</v>
      </c>
      <c r="I866" t="e">
        <v>#N/A</v>
      </c>
      <c r="J866" s="1">
        <v>1.73</v>
      </c>
      <c r="K866" s="1" t="e">
        <v>#N/A</v>
      </c>
      <c r="L866" t="s">
        <v>180</v>
      </c>
      <c r="M866" t="s">
        <v>54</v>
      </c>
      <c r="N866">
        <f>2000+RIGHT(Table1[[#This Row],[Release Date]],2)</f>
        <v>2020</v>
      </c>
      <c r="O866">
        <f>_xlfn.MAXIFS(Table1[[#This Row],[Total Shipped]]:Table1[[#This Row],[Total Sales]],Table1[[#This Row],[Total Shipped]]:Table1[[#This Row],[Total Sales]],"&lt;&gt;#N/A")</f>
        <v>1.73</v>
      </c>
      <c r="P866">
        <f>_xlfn.MAXIFS(Table1[[#This Row],[VGChartz Score]:[User Score]],Table1[[#This Row],[VGChartz Score]:[User Score]],"&lt;&gt;#N/A")</f>
        <v>0</v>
      </c>
    </row>
    <row r="867" spans="1:16" hidden="1" x14ac:dyDescent="0.2">
      <c r="A867">
        <f t="shared" si="17"/>
        <v>866</v>
      </c>
      <c r="B867">
        <v>66</v>
      </c>
      <c r="C867" t="s">
        <v>138</v>
      </c>
      <c r="D867" t="s">
        <v>181</v>
      </c>
      <c r="E867" t="s">
        <v>139</v>
      </c>
      <c r="F867" t="s">
        <v>1</v>
      </c>
      <c r="G867">
        <v>8.5</v>
      </c>
      <c r="H867" t="e">
        <v>#N/A</v>
      </c>
      <c r="I867">
        <v>9</v>
      </c>
      <c r="J867" s="2">
        <v>1.61</v>
      </c>
      <c r="K867" s="2" t="e">
        <v>#N/A</v>
      </c>
      <c r="L867" t="s">
        <v>182</v>
      </c>
      <c r="M867" t="s">
        <v>22</v>
      </c>
      <c r="N867">
        <f>2000+RIGHT(Table1[[#This Row],[Release Date]],2)</f>
        <v>2023</v>
      </c>
      <c r="O867">
        <f>_xlfn.MAXIFS(Table1[[#This Row],[Total Shipped]]:Table1[[#This Row],[Total Sales]],Table1[[#This Row],[Total Shipped]]:Table1[[#This Row],[Total Sales]],"&lt;&gt;#N/A")</f>
        <v>1.61</v>
      </c>
      <c r="P867">
        <f>_xlfn.MAXIFS(Table1[[#This Row],[VGChartz Score]:[User Score]],Table1[[#This Row],[VGChartz Score]:[User Score]],"&lt;&gt;#N/A")</f>
        <v>9</v>
      </c>
    </row>
    <row r="868" spans="1:16" hidden="1" x14ac:dyDescent="0.2">
      <c r="A868">
        <f t="shared" si="17"/>
        <v>867</v>
      </c>
      <c r="B868">
        <v>67</v>
      </c>
      <c r="C868" t="s">
        <v>138</v>
      </c>
      <c r="D868" t="s">
        <v>183</v>
      </c>
      <c r="E868" t="s">
        <v>139</v>
      </c>
      <c r="F868" t="s">
        <v>1</v>
      </c>
      <c r="G868" t="e">
        <v>#N/A</v>
      </c>
      <c r="H868" t="e">
        <v>#N/A</v>
      </c>
      <c r="I868" t="e">
        <v>#N/A</v>
      </c>
      <c r="J868" s="1">
        <v>1.6</v>
      </c>
      <c r="K868" s="1" t="e">
        <v>#N/A</v>
      </c>
      <c r="L868" t="s">
        <v>184</v>
      </c>
      <c r="M868" t="s">
        <v>185</v>
      </c>
      <c r="N868">
        <f>2000+RIGHT(Table1[[#This Row],[Release Date]],2)</f>
        <v>2019</v>
      </c>
      <c r="O868">
        <f>_xlfn.MAXIFS(Table1[[#This Row],[Total Shipped]]:Table1[[#This Row],[Total Sales]],Table1[[#This Row],[Total Shipped]]:Table1[[#This Row],[Total Sales]],"&lt;&gt;#N/A")</f>
        <v>1.6</v>
      </c>
      <c r="P868">
        <f>_xlfn.MAXIFS(Table1[[#This Row],[VGChartz Score]:[User Score]],Table1[[#This Row],[VGChartz Score]:[User Score]],"&lt;&gt;#N/A")</f>
        <v>0</v>
      </c>
    </row>
    <row r="869" spans="1:16" hidden="1" x14ac:dyDescent="0.2">
      <c r="A869">
        <f t="shared" si="17"/>
        <v>868</v>
      </c>
      <c r="B869">
        <v>68</v>
      </c>
      <c r="C869" t="s">
        <v>138</v>
      </c>
      <c r="D869" t="s">
        <v>186</v>
      </c>
      <c r="E869" t="s">
        <v>139</v>
      </c>
      <c r="F869" t="s">
        <v>69</v>
      </c>
      <c r="G869" t="e">
        <v>#N/A</v>
      </c>
      <c r="H869" t="e">
        <v>#N/A</v>
      </c>
      <c r="I869" t="e">
        <v>#N/A</v>
      </c>
      <c r="J869" s="2">
        <v>1.6</v>
      </c>
      <c r="K869" s="2" t="e">
        <v>#N/A</v>
      </c>
      <c r="L869" t="s">
        <v>187</v>
      </c>
      <c r="M869" t="s">
        <v>188</v>
      </c>
      <c r="N869">
        <f>2000+RIGHT(Table1[[#This Row],[Release Date]],2)</f>
        <v>2017</v>
      </c>
      <c r="O869">
        <f>_xlfn.MAXIFS(Table1[[#This Row],[Total Shipped]]:Table1[[#This Row],[Total Sales]],Table1[[#This Row],[Total Shipped]]:Table1[[#This Row],[Total Sales]],"&lt;&gt;#N/A")</f>
        <v>1.6</v>
      </c>
      <c r="P869">
        <f>_xlfn.MAXIFS(Table1[[#This Row],[VGChartz Score]:[User Score]],Table1[[#This Row],[VGChartz Score]:[User Score]],"&lt;&gt;#N/A")</f>
        <v>0</v>
      </c>
    </row>
    <row r="870" spans="1:16" hidden="1" x14ac:dyDescent="0.2">
      <c r="A870">
        <f t="shared" si="17"/>
        <v>869</v>
      </c>
      <c r="B870">
        <v>69</v>
      </c>
      <c r="C870" t="s">
        <v>138</v>
      </c>
      <c r="D870" t="s">
        <v>189</v>
      </c>
      <c r="E870" t="s">
        <v>139</v>
      </c>
      <c r="F870" t="s">
        <v>103</v>
      </c>
      <c r="G870" t="e">
        <v>#N/A</v>
      </c>
      <c r="H870" t="e">
        <v>#N/A</v>
      </c>
      <c r="I870" t="e">
        <v>#N/A</v>
      </c>
      <c r="J870" s="1">
        <v>1.5</v>
      </c>
      <c r="K870" s="1" t="e">
        <v>#N/A</v>
      </c>
      <c r="L870" t="s">
        <v>190</v>
      </c>
      <c r="M870" t="s">
        <v>191</v>
      </c>
      <c r="N870">
        <f>2000+RIGHT(Table1[[#This Row],[Release Date]],2)</f>
        <v>2023</v>
      </c>
      <c r="O870">
        <f>_xlfn.MAXIFS(Table1[[#This Row],[Total Shipped]]:Table1[[#This Row],[Total Sales]],Table1[[#This Row],[Total Shipped]]:Table1[[#This Row],[Total Sales]],"&lt;&gt;#N/A")</f>
        <v>1.5</v>
      </c>
      <c r="P870">
        <f>_xlfn.MAXIFS(Table1[[#This Row],[VGChartz Score]:[User Score]],Table1[[#This Row],[VGChartz Score]:[User Score]],"&lt;&gt;#N/A")</f>
        <v>0</v>
      </c>
    </row>
    <row r="871" spans="1:16" hidden="1" x14ac:dyDescent="0.2">
      <c r="A871">
        <f t="shared" si="17"/>
        <v>870</v>
      </c>
      <c r="B871">
        <v>70</v>
      </c>
      <c r="C871" t="s">
        <v>138</v>
      </c>
      <c r="D871" t="s">
        <v>192</v>
      </c>
      <c r="E871" t="s">
        <v>139</v>
      </c>
      <c r="F871" t="s">
        <v>1</v>
      </c>
      <c r="G871" t="e">
        <v>#N/A</v>
      </c>
      <c r="H871" t="e">
        <v>#N/A</v>
      </c>
      <c r="I871" t="e">
        <v>#N/A</v>
      </c>
      <c r="J871" s="2">
        <v>1.46</v>
      </c>
      <c r="K871" s="2" t="e">
        <v>#N/A</v>
      </c>
      <c r="L871" t="s">
        <v>193</v>
      </c>
      <c r="M871" t="s">
        <v>22</v>
      </c>
      <c r="N871">
        <f>2000+RIGHT(Table1[[#This Row],[Release Date]],2)</f>
        <v>2023</v>
      </c>
      <c r="O871">
        <f>_xlfn.MAXIFS(Table1[[#This Row],[Total Shipped]]:Table1[[#This Row],[Total Sales]],Table1[[#This Row],[Total Shipped]]:Table1[[#This Row],[Total Sales]],"&lt;&gt;#N/A")</f>
        <v>1.46</v>
      </c>
      <c r="P871">
        <f>_xlfn.MAXIFS(Table1[[#This Row],[VGChartz Score]:[User Score]],Table1[[#This Row],[VGChartz Score]:[User Score]],"&lt;&gt;#N/A")</f>
        <v>0</v>
      </c>
    </row>
    <row r="872" spans="1:16" hidden="1" x14ac:dyDescent="0.2">
      <c r="A872">
        <f t="shared" si="17"/>
        <v>871</v>
      </c>
      <c r="B872">
        <v>71</v>
      </c>
      <c r="C872" t="s">
        <v>138</v>
      </c>
      <c r="D872" t="s">
        <v>194</v>
      </c>
      <c r="E872" t="s">
        <v>139</v>
      </c>
      <c r="F872" t="s">
        <v>1</v>
      </c>
      <c r="G872" t="e">
        <v>#N/A</v>
      </c>
      <c r="H872">
        <v>7.7</v>
      </c>
      <c r="I872" t="e">
        <v>#N/A</v>
      </c>
      <c r="J872" s="1">
        <v>1.42</v>
      </c>
      <c r="K872" s="1" t="e">
        <v>#N/A</v>
      </c>
      <c r="L872" t="s">
        <v>195</v>
      </c>
      <c r="M872" t="s">
        <v>3</v>
      </c>
      <c r="N872">
        <f>2000+RIGHT(Table1[[#This Row],[Release Date]],2)</f>
        <v>2018</v>
      </c>
      <c r="O872">
        <f>_xlfn.MAXIFS(Table1[[#This Row],[Total Shipped]]:Table1[[#This Row],[Total Sales]],Table1[[#This Row],[Total Shipped]]:Table1[[#This Row],[Total Sales]],"&lt;&gt;#N/A")</f>
        <v>1.42</v>
      </c>
      <c r="P872">
        <f>_xlfn.MAXIFS(Table1[[#This Row],[VGChartz Score]:[User Score]],Table1[[#This Row],[VGChartz Score]:[User Score]],"&lt;&gt;#N/A")</f>
        <v>7.7</v>
      </c>
    </row>
    <row r="873" spans="1:16" hidden="1" x14ac:dyDescent="0.2">
      <c r="A873">
        <f t="shared" si="17"/>
        <v>872</v>
      </c>
      <c r="B873">
        <v>72</v>
      </c>
      <c r="C873" t="s">
        <v>138</v>
      </c>
      <c r="D873" t="s">
        <v>196</v>
      </c>
      <c r="E873" t="s">
        <v>139</v>
      </c>
      <c r="F873" t="s">
        <v>197</v>
      </c>
      <c r="G873" t="e">
        <v>#N/A</v>
      </c>
      <c r="H873" t="e">
        <v>#N/A</v>
      </c>
      <c r="I873" t="e">
        <v>#N/A</v>
      </c>
      <c r="J873" s="2">
        <v>1.4</v>
      </c>
      <c r="K873" s="2" t="e">
        <v>#N/A</v>
      </c>
      <c r="L873" t="s">
        <v>198</v>
      </c>
      <c r="M873" t="s">
        <v>80</v>
      </c>
      <c r="N873">
        <f>2000+RIGHT(Table1[[#This Row],[Release Date]],2)</f>
        <v>2019</v>
      </c>
      <c r="O873">
        <f>_xlfn.MAXIFS(Table1[[#This Row],[Total Shipped]]:Table1[[#This Row],[Total Sales]],Table1[[#This Row],[Total Shipped]]:Table1[[#This Row],[Total Sales]],"&lt;&gt;#N/A")</f>
        <v>1.4</v>
      </c>
      <c r="P873">
        <f>_xlfn.MAXIFS(Table1[[#This Row],[VGChartz Score]:[User Score]],Table1[[#This Row],[VGChartz Score]:[User Score]],"&lt;&gt;#N/A")</f>
        <v>0</v>
      </c>
    </row>
    <row r="874" spans="1:16" hidden="1" x14ac:dyDescent="0.2">
      <c r="A874">
        <f t="shared" si="17"/>
        <v>873</v>
      </c>
      <c r="B874">
        <v>73</v>
      </c>
      <c r="C874" t="s">
        <v>138</v>
      </c>
      <c r="D874" t="s">
        <v>199</v>
      </c>
      <c r="E874" t="s">
        <v>139</v>
      </c>
      <c r="F874" t="s">
        <v>1</v>
      </c>
      <c r="G874" t="e">
        <v>#N/A</v>
      </c>
      <c r="H874" t="e">
        <v>#N/A</v>
      </c>
      <c r="I874" t="e">
        <v>#N/A</v>
      </c>
      <c r="J874" s="1">
        <v>1.34</v>
      </c>
      <c r="K874" s="1" t="e">
        <v>#N/A</v>
      </c>
      <c r="L874" t="s">
        <v>200</v>
      </c>
      <c r="M874" t="s">
        <v>201</v>
      </c>
      <c r="N874">
        <f>2000+RIGHT(Table1[[#This Row],[Release Date]],2)</f>
        <v>2021</v>
      </c>
      <c r="O874">
        <f>_xlfn.MAXIFS(Table1[[#This Row],[Total Shipped]]:Table1[[#This Row],[Total Sales]],Table1[[#This Row],[Total Shipped]]:Table1[[#This Row],[Total Sales]],"&lt;&gt;#N/A")</f>
        <v>1.34</v>
      </c>
      <c r="P874">
        <f>_xlfn.MAXIFS(Table1[[#This Row],[VGChartz Score]:[User Score]],Table1[[#This Row],[VGChartz Score]:[User Score]],"&lt;&gt;#N/A")</f>
        <v>0</v>
      </c>
    </row>
    <row r="875" spans="1:16" hidden="1" x14ac:dyDescent="0.2">
      <c r="A875">
        <f t="shared" si="17"/>
        <v>874</v>
      </c>
      <c r="B875">
        <v>74</v>
      </c>
      <c r="C875" t="s">
        <v>138</v>
      </c>
      <c r="D875" t="s">
        <v>202</v>
      </c>
      <c r="E875" t="s">
        <v>139</v>
      </c>
      <c r="F875" t="s">
        <v>1</v>
      </c>
      <c r="G875" t="e">
        <v>#N/A</v>
      </c>
      <c r="H875" t="e">
        <v>#N/A</v>
      </c>
      <c r="I875" t="e">
        <v>#N/A</v>
      </c>
      <c r="J875" s="2">
        <v>1.33</v>
      </c>
      <c r="K875" s="2" t="e">
        <v>#N/A</v>
      </c>
      <c r="L875" t="s">
        <v>203</v>
      </c>
      <c r="M875" t="s">
        <v>185</v>
      </c>
      <c r="N875">
        <f>2000+RIGHT(Table1[[#This Row],[Release Date]],2)</f>
        <v>2019</v>
      </c>
      <c r="O875">
        <f>_xlfn.MAXIFS(Table1[[#This Row],[Total Shipped]]:Table1[[#This Row],[Total Sales]],Table1[[#This Row],[Total Shipped]]:Table1[[#This Row],[Total Sales]],"&lt;&gt;#N/A")</f>
        <v>1.33</v>
      </c>
      <c r="P875">
        <f>_xlfn.MAXIFS(Table1[[#This Row],[VGChartz Score]:[User Score]],Table1[[#This Row],[VGChartz Score]:[User Score]],"&lt;&gt;#N/A")</f>
        <v>0</v>
      </c>
    </row>
    <row r="876" spans="1:16" hidden="1" x14ac:dyDescent="0.2">
      <c r="A876">
        <f t="shared" si="17"/>
        <v>875</v>
      </c>
      <c r="B876">
        <v>75</v>
      </c>
      <c r="C876" t="s">
        <v>138</v>
      </c>
      <c r="D876" t="s">
        <v>204</v>
      </c>
      <c r="E876" t="s">
        <v>139</v>
      </c>
      <c r="F876" t="s">
        <v>69</v>
      </c>
      <c r="G876" t="e">
        <v>#N/A</v>
      </c>
      <c r="H876" t="e">
        <v>#N/A</v>
      </c>
      <c r="I876" t="e">
        <v>#N/A</v>
      </c>
      <c r="J876" s="1">
        <v>1.3</v>
      </c>
      <c r="K876" s="1" t="e">
        <v>#N/A</v>
      </c>
      <c r="L876" t="s">
        <v>205</v>
      </c>
      <c r="M876" t="s">
        <v>114</v>
      </c>
      <c r="N876">
        <f>2000+RIGHT(Table1[[#This Row],[Release Date]],2)</f>
        <v>2019</v>
      </c>
      <c r="O876">
        <f>_xlfn.MAXIFS(Table1[[#This Row],[Total Shipped]]:Table1[[#This Row],[Total Sales]],Table1[[#This Row],[Total Shipped]]:Table1[[#This Row],[Total Sales]],"&lt;&gt;#N/A")</f>
        <v>1.3</v>
      </c>
      <c r="P876">
        <f>_xlfn.MAXIFS(Table1[[#This Row],[VGChartz Score]:[User Score]],Table1[[#This Row],[VGChartz Score]:[User Score]],"&lt;&gt;#N/A")</f>
        <v>0</v>
      </c>
    </row>
    <row r="877" spans="1:16" hidden="1" x14ac:dyDescent="0.2">
      <c r="A877">
        <f t="shared" si="17"/>
        <v>876</v>
      </c>
      <c r="B877">
        <v>76</v>
      </c>
      <c r="C877" t="s">
        <v>138</v>
      </c>
      <c r="D877" t="s">
        <v>206</v>
      </c>
      <c r="E877" t="s">
        <v>139</v>
      </c>
      <c r="F877" t="s">
        <v>1</v>
      </c>
      <c r="G877" t="e">
        <v>#N/A</v>
      </c>
      <c r="H877" t="e">
        <v>#N/A</v>
      </c>
      <c r="I877" t="e">
        <v>#N/A</v>
      </c>
      <c r="J877" s="2">
        <v>1.3</v>
      </c>
      <c r="K877" s="2" t="e">
        <v>#N/A</v>
      </c>
      <c r="L877" t="s">
        <v>207</v>
      </c>
      <c r="M877" t="s">
        <v>149</v>
      </c>
      <c r="N877">
        <f>2000+RIGHT(Table1[[#This Row],[Release Date]],2)</f>
        <v>2023</v>
      </c>
      <c r="O877">
        <f>_xlfn.MAXIFS(Table1[[#This Row],[Total Shipped]]:Table1[[#This Row],[Total Sales]],Table1[[#This Row],[Total Shipped]]:Table1[[#This Row],[Total Sales]],"&lt;&gt;#N/A")</f>
        <v>1.3</v>
      </c>
      <c r="P877">
        <f>_xlfn.MAXIFS(Table1[[#This Row],[VGChartz Score]:[User Score]],Table1[[#This Row],[VGChartz Score]:[User Score]],"&lt;&gt;#N/A")</f>
        <v>0</v>
      </c>
    </row>
    <row r="878" spans="1:16" hidden="1" x14ac:dyDescent="0.2">
      <c r="A878">
        <f t="shared" si="17"/>
        <v>877</v>
      </c>
      <c r="B878">
        <v>77</v>
      </c>
      <c r="C878" t="s">
        <v>138</v>
      </c>
      <c r="D878" t="s">
        <v>208</v>
      </c>
      <c r="E878" t="s">
        <v>139</v>
      </c>
      <c r="F878" t="s">
        <v>1</v>
      </c>
      <c r="G878" t="e">
        <v>#N/A</v>
      </c>
      <c r="H878" t="e">
        <v>#N/A</v>
      </c>
      <c r="I878" t="e">
        <v>#N/A</v>
      </c>
      <c r="J878" s="1">
        <v>1.27</v>
      </c>
      <c r="K878" s="1" t="e">
        <v>#N/A</v>
      </c>
      <c r="L878" t="s">
        <v>209</v>
      </c>
      <c r="M878" t="s">
        <v>77</v>
      </c>
      <c r="N878">
        <f>2000+RIGHT(Table1[[#This Row],[Release Date]],2)</f>
        <v>2025</v>
      </c>
      <c r="O878">
        <f>_xlfn.MAXIFS(Table1[[#This Row],[Total Shipped]]:Table1[[#This Row],[Total Sales]],Table1[[#This Row],[Total Shipped]]:Table1[[#This Row],[Total Sales]],"&lt;&gt;#N/A")</f>
        <v>1.27</v>
      </c>
      <c r="P878">
        <f>_xlfn.MAXIFS(Table1[[#This Row],[VGChartz Score]:[User Score]],Table1[[#This Row],[VGChartz Score]:[User Score]],"&lt;&gt;#N/A")</f>
        <v>0</v>
      </c>
    </row>
    <row r="879" spans="1:16" hidden="1" x14ac:dyDescent="0.2">
      <c r="A879">
        <f t="shared" si="17"/>
        <v>878</v>
      </c>
      <c r="B879">
        <v>78</v>
      </c>
      <c r="C879" t="s">
        <v>138</v>
      </c>
      <c r="D879" t="s">
        <v>210</v>
      </c>
      <c r="E879" t="s">
        <v>139</v>
      </c>
      <c r="F879" t="s">
        <v>1</v>
      </c>
      <c r="G879" t="e">
        <v>#N/A</v>
      </c>
      <c r="H879" t="e">
        <v>#N/A</v>
      </c>
      <c r="I879" t="e">
        <v>#N/A</v>
      </c>
      <c r="J879" s="2">
        <v>1.27</v>
      </c>
      <c r="K879" s="2" t="e">
        <v>#N/A</v>
      </c>
      <c r="L879" t="s">
        <v>211</v>
      </c>
      <c r="M879" t="s">
        <v>212</v>
      </c>
      <c r="N879">
        <f>2000+RIGHT(Table1[[#This Row],[Release Date]],2)</f>
        <v>2020</v>
      </c>
      <c r="O879">
        <f>_xlfn.MAXIFS(Table1[[#This Row],[Total Shipped]]:Table1[[#This Row],[Total Sales]],Table1[[#This Row],[Total Shipped]]:Table1[[#This Row],[Total Sales]],"&lt;&gt;#N/A")</f>
        <v>1.27</v>
      </c>
      <c r="P879">
        <f>_xlfn.MAXIFS(Table1[[#This Row],[VGChartz Score]:[User Score]],Table1[[#This Row],[VGChartz Score]:[User Score]],"&lt;&gt;#N/A")</f>
        <v>0</v>
      </c>
    </row>
    <row r="880" spans="1:16" hidden="1" x14ac:dyDescent="0.2">
      <c r="A880">
        <f t="shared" si="17"/>
        <v>879</v>
      </c>
      <c r="B880">
        <v>79</v>
      </c>
      <c r="C880" t="s">
        <v>138</v>
      </c>
      <c r="D880" t="s">
        <v>213</v>
      </c>
      <c r="E880" t="s">
        <v>139</v>
      </c>
      <c r="F880" t="s">
        <v>129</v>
      </c>
      <c r="G880" t="e">
        <v>#N/A</v>
      </c>
      <c r="H880">
        <v>7.5</v>
      </c>
      <c r="I880" t="e">
        <v>#N/A</v>
      </c>
      <c r="J880" s="1">
        <v>1.26</v>
      </c>
      <c r="K880" s="1" t="e">
        <v>#N/A</v>
      </c>
      <c r="L880" t="s">
        <v>214</v>
      </c>
      <c r="M880" t="s">
        <v>215</v>
      </c>
      <c r="N880">
        <f>2000+RIGHT(Table1[[#This Row],[Release Date]],2)</f>
        <v>2018</v>
      </c>
      <c r="O880">
        <f>_xlfn.MAXIFS(Table1[[#This Row],[Total Shipped]]:Table1[[#This Row],[Total Sales]],Table1[[#This Row],[Total Shipped]]:Table1[[#This Row],[Total Sales]],"&lt;&gt;#N/A")</f>
        <v>1.26</v>
      </c>
      <c r="P880">
        <f>_xlfn.MAXIFS(Table1[[#This Row],[VGChartz Score]:[User Score]],Table1[[#This Row],[VGChartz Score]:[User Score]],"&lt;&gt;#N/A")</f>
        <v>7.5</v>
      </c>
    </row>
    <row r="881" spans="1:16" hidden="1" x14ac:dyDescent="0.2">
      <c r="A881">
        <f t="shared" si="17"/>
        <v>880</v>
      </c>
      <c r="B881">
        <v>80</v>
      </c>
      <c r="C881" t="s">
        <v>138</v>
      </c>
      <c r="D881" t="s">
        <v>216</v>
      </c>
      <c r="E881" t="s">
        <v>139</v>
      </c>
      <c r="F881" t="s">
        <v>1</v>
      </c>
      <c r="G881" t="e">
        <v>#N/A</v>
      </c>
      <c r="H881" t="e">
        <v>#N/A</v>
      </c>
      <c r="I881" t="e">
        <v>#N/A</v>
      </c>
      <c r="J881" s="2">
        <v>1.24</v>
      </c>
      <c r="K881" s="2" t="e">
        <v>#N/A</v>
      </c>
      <c r="L881" t="s">
        <v>217</v>
      </c>
      <c r="M881" t="s">
        <v>27</v>
      </c>
      <c r="N881">
        <f>2000+RIGHT(Table1[[#This Row],[Release Date]],2)</f>
        <v>2018</v>
      </c>
      <c r="O881">
        <f>_xlfn.MAXIFS(Table1[[#This Row],[Total Shipped]]:Table1[[#This Row],[Total Sales]],Table1[[#This Row],[Total Shipped]]:Table1[[#This Row],[Total Sales]],"&lt;&gt;#N/A")</f>
        <v>1.24</v>
      </c>
      <c r="P881">
        <f>_xlfn.MAXIFS(Table1[[#This Row],[VGChartz Score]:[User Score]],Table1[[#This Row],[VGChartz Score]:[User Score]],"&lt;&gt;#N/A")</f>
        <v>0</v>
      </c>
    </row>
    <row r="882" spans="1:16" hidden="1" x14ac:dyDescent="0.2">
      <c r="A882">
        <f t="shared" si="17"/>
        <v>881</v>
      </c>
      <c r="B882">
        <v>81</v>
      </c>
      <c r="C882" t="s">
        <v>138</v>
      </c>
      <c r="D882" t="s">
        <v>218</v>
      </c>
      <c r="E882" t="s">
        <v>139</v>
      </c>
      <c r="F882" t="s">
        <v>1</v>
      </c>
      <c r="G882" t="e">
        <v>#N/A</v>
      </c>
      <c r="H882">
        <v>9.5</v>
      </c>
      <c r="I882" t="e">
        <v>#N/A</v>
      </c>
      <c r="J882" s="1">
        <v>1.23</v>
      </c>
      <c r="K882" s="1" t="e">
        <v>#N/A</v>
      </c>
      <c r="L882" t="s">
        <v>217</v>
      </c>
      <c r="M882" t="s">
        <v>219</v>
      </c>
      <c r="N882">
        <f>2000+RIGHT(Table1[[#This Row],[Release Date]],2)</f>
        <v>2018</v>
      </c>
      <c r="O882">
        <f>_xlfn.MAXIFS(Table1[[#This Row],[Total Shipped]]:Table1[[#This Row],[Total Sales]],Table1[[#This Row],[Total Shipped]]:Table1[[#This Row],[Total Sales]],"&lt;&gt;#N/A")</f>
        <v>1.23</v>
      </c>
      <c r="P882">
        <f>_xlfn.MAXIFS(Table1[[#This Row],[VGChartz Score]:[User Score]],Table1[[#This Row],[VGChartz Score]:[User Score]],"&lt;&gt;#N/A")</f>
        <v>9.5</v>
      </c>
    </row>
    <row r="883" spans="1:16" hidden="1" x14ac:dyDescent="0.2">
      <c r="A883">
        <f t="shared" si="17"/>
        <v>882</v>
      </c>
      <c r="B883">
        <v>82</v>
      </c>
      <c r="C883" t="s">
        <v>138</v>
      </c>
      <c r="D883" t="s">
        <v>220</v>
      </c>
      <c r="E883" t="s">
        <v>139</v>
      </c>
      <c r="F883" t="s">
        <v>1</v>
      </c>
      <c r="G883" t="e">
        <v>#N/A</v>
      </c>
      <c r="H883">
        <v>8</v>
      </c>
      <c r="I883" t="e">
        <v>#N/A</v>
      </c>
      <c r="J883" s="2">
        <v>1.1599999999999999</v>
      </c>
      <c r="K883" s="2" t="e">
        <v>#N/A</v>
      </c>
      <c r="L883" t="s">
        <v>176</v>
      </c>
      <c r="M883" t="s">
        <v>123</v>
      </c>
      <c r="N883">
        <f>2000+RIGHT(Table1[[#This Row],[Release Date]],2)</f>
        <v>2017</v>
      </c>
      <c r="O883">
        <f>_xlfn.MAXIFS(Table1[[#This Row],[Total Shipped]]:Table1[[#This Row],[Total Sales]],Table1[[#This Row],[Total Shipped]]:Table1[[#This Row],[Total Sales]],"&lt;&gt;#N/A")</f>
        <v>1.1599999999999999</v>
      </c>
      <c r="P883">
        <f>_xlfn.MAXIFS(Table1[[#This Row],[VGChartz Score]:[User Score]],Table1[[#This Row],[VGChartz Score]:[User Score]],"&lt;&gt;#N/A")</f>
        <v>8</v>
      </c>
    </row>
    <row r="884" spans="1:16" hidden="1" x14ac:dyDescent="0.2">
      <c r="A884">
        <f t="shared" si="17"/>
        <v>883</v>
      </c>
      <c r="B884">
        <v>83</v>
      </c>
      <c r="C884" t="s">
        <v>138</v>
      </c>
      <c r="D884" t="s">
        <v>221</v>
      </c>
      <c r="E884" t="s">
        <v>139</v>
      </c>
      <c r="F884" t="s">
        <v>222</v>
      </c>
      <c r="G884" t="e">
        <v>#N/A</v>
      </c>
      <c r="H884">
        <v>8.6</v>
      </c>
      <c r="I884">
        <v>9.1</v>
      </c>
      <c r="J884" s="1" t="e">
        <v>#N/A</v>
      </c>
      <c r="K884" s="1">
        <v>1.1499999999999999</v>
      </c>
      <c r="L884" t="s">
        <v>223</v>
      </c>
      <c r="M884" t="s">
        <v>123</v>
      </c>
      <c r="N884">
        <f>2000+RIGHT(Table1[[#This Row],[Release Date]],2)</f>
        <v>2017</v>
      </c>
      <c r="O884">
        <f>_xlfn.MAXIFS(Table1[[#This Row],[Total Shipped]]:Table1[[#This Row],[Total Sales]],Table1[[#This Row],[Total Shipped]]:Table1[[#This Row],[Total Sales]],"&lt;&gt;#N/A")</f>
        <v>1.1499999999999999</v>
      </c>
      <c r="P884">
        <f>_xlfn.MAXIFS(Table1[[#This Row],[VGChartz Score]:[User Score]],Table1[[#This Row],[VGChartz Score]:[User Score]],"&lt;&gt;#N/A")</f>
        <v>9.1</v>
      </c>
    </row>
    <row r="885" spans="1:16" hidden="1" x14ac:dyDescent="0.2">
      <c r="A885">
        <f t="shared" si="17"/>
        <v>884</v>
      </c>
      <c r="B885">
        <v>84</v>
      </c>
      <c r="C885" t="s">
        <v>138</v>
      </c>
      <c r="D885" t="s">
        <v>224</v>
      </c>
      <c r="E885" t="s">
        <v>139</v>
      </c>
      <c r="F885" t="s">
        <v>129</v>
      </c>
      <c r="G885" t="e">
        <v>#N/A</v>
      </c>
      <c r="H885">
        <v>8.8000000000000007</v>
      </c>
      <c r="I885">
        <v>9</v>
      </c>
      <c r="J885" s="2">
        <v>1.1499999999999999</v>
      </c>
      <c r="K885" s="2" t="e">
        <v>#N/A</v>
      </c>
      <c r="L885" t="s">
        <v>225</v>
      </c>
      <c r="M885" t="s">
        <v>226</v>
      </c>
      <c r="N885">
        <f>2000+RIGHT(Table1[[#This Row],[Release Date]],2)</f>
        <v>2018</v>
      </c>
      <c r="O885">
        <f>_xlfn.MAXIFS(Table1[[#This Row],[Total Shipped]]:Table1[[#This Row],[Total Sales]],Table1[[#This Row],[Total Shipped]]:Table1[[#This Row],[Total Sales]],"&lt;&gt;#N/A")</f>
        <v>1.1499999999999999</v>
      </c>
      <c r="P885">
        <f>_xlfn.MAXIFS(Table1[[#This Row],[VGChartz Score]:[User Score]],Table1[[#This Row],[VGChartz Score]:[User Score]],"&lt;&gt;#N/A")</f>
        <v>9</v>
      </c>
    </row>
    <row r="886" spans="1:16" hidden="1" x14ac:dyDescent="0.2">
      <c r="A886">
        <f t="shared" si="17"/>
        <v>885</v>
      </c>
      <c r="B886">
        <v>85</v>
      </c>
      <c r="C886" t="s">
        <v>138</v>
      </c>
      <c r="D886" t="s">
        <v>227</v>
      </c>
      <c r="E886" t="s">
        <v>139</v>
      </c>
      <c r="F886" t="s">
        <v>1</v>
      </c>
      <c r="G886" t="e">
        <v>#N/A</v>
      </c>
      <c r="H886" t="e">
        <v>#N/A</v>
      </c>
      <c r="I886" t="e">
        <v>#N/A</v>
      </c>
      <c r="J886" s="1">
        <v>1.1499999999999999</v>
      </c>
      <c r="K886" s="1" t="e">
        <v>#N/A</v>
      </c>
      <c r="L886" t="s">
        <v>228</v>
      </c>
      <c r="M886" t="s">
        <v>229</v>
      </c>
      <c r="N886">
        <f>2000+RIGHT(Table1[[#This Row],[Release Date]],2)</f>
        <v>2021</v>
      </c>
      <c r="O886">
        <f>_xlfn.MAXIFS(Table1[[#This Row],[Total Shipped]]:Table1[[#This Row],[Total Sales]],Table1[[#This Row],[Total Shipped]]:Table1[[#This Row],[Total Sales]],"&lt;&gt;#N/A")</f>
        <v>1.1499999999999999</v>
      </c>
      <c r="P886">
        <f>_xlfn.MAXIFS(Table1[[#This Row],[VGChartz Score]:[User Score]],Table1[[#This Row],[VGChartz Score]:[User Score]],"&lt;&gt;#N/A")</f>
        <v>0</v>
      </c>
    </row>
    <row r="887" spans="1:16" hidden="1" x14ac:dyDescent="0.2">
      <c r="A887">
        <f t="shared" si="17"/>
        <v>886</v>
      </c>
      <c r="B887">
        <v>86</v>
      </c>
      <c r="C887" t="s">
        <v>138</v>
      </c>
      <c r="D887" t="s">
        <v>230</v>
      </c>
      <c r="E887" t="s">
        <v>139</v>
      </c>
      <c r="F887" t="s">
        <v>1</v>
      </c>
      <c r="G887" t="e">
        <v>#N/A</v>
      </c>
      <c r="H887" t="e">
        <v>#N/A</v>
      </c>
      <c r="I887" t="e">
        <v>#N/A</v>
      </c>
      <c r="J887" s="2">
        <v>1.1200000000000001</v>
      </c>
      <c r="K887" s="2" t="e">
        <v>#N/A</v>
      </c>
      <c r="L887" t="s">
        <v>231</v>
      </c>
      <c r="M887" t="s">
        <v>149</v>
      </c>
      <c r="N887">
        <f>2000+RIGHT(Table1[[#This Row],[Release Date]],2)</f>
        <v>2024</v>
      </c>
      <c r="O887">
        <f>_xlfn.MAXIFS(Table1[[#This Row],[Total Shipped]]:Table1[[#This Row],[Total Sales]],Table1[[#This Row],[Total Shipped]]:Table1[[#This Row],[Total Sales]],"&lt;&gt;#N/A")</f>
        <v>1.1200000000000001</v>
      </c>
      <c r="P887">
        <f>_xlfn.MAXIFS(Table1[[#This Row],[VGChartz Score]:[User Score]],Table1[[#This Row],[VGChartz Score]:[User Score]],"&lt;&gt;#N/A")</f>
        <v>0</v>
      </c>
    </row>
    <row r="888" spans="1:16" hidden="1" x14ac:dyDescent="0.2">
      <c r="A888">
        <f t="shared" si="17"/>
        <v>887</v>
      </c>
      <c r="B888">
        <v>87</v>
      </c>
      <c r="C888" t="s">
        <v>138</v>
      </c>
      <c r="D888" t="s">
        <v>232</v>
      </c>
      <c r="E888" t="s">
        <v>139</v>
      </c>
      <c r="F888" t="s">
        <v>233</v>
      </c>
      <c r="G888" t="e">
        <v>#N/A</v>
      </c>
      <c r="H888">
        <v>6</v>
      </c>
      <c r="I888" t="e">
        <v>#N/A</v>
      </c>
      <c r="J888" s="1" t="e">
        <v>#N/A</v>
      </c>
      <c r="K888" s="1">
        <v>1.1100000000000001</v>
      </c>
      <c r="L888" t="s">
        <v>234</v>
      </c>
      <c r="M888" t="s">
        <v>235</v>
      </c>
      <c r="N888">
        <f>2000+RIGHT(Table1[[#This Row],[Release Date]],2)</f>
        <v>2018</v>
      </c>
      <c r="O888">
        <f>_xlfn.MAXIFS(Table1[[#This Row],[Total Shipped]]:Table1[[#This Row],[Total Sales]],Table1[[#This Row],[Total Shipped]]:Table1[[#This Row],[Total Sales]],"&lt;&gt;#N/A")</f>
        <v>1.1100000000000001</v>
      </c>
      <c r="P888">
        <f>_xlfn.MAXIFS(Table1[[#This Row],[VGChartz Score]:[User Score]],Table1[[#This Row],[VGChartz Score]:[User Score]],"&lt;&gt;#N/A")</f>
        <v>6</v>
      </c>
    </row>
    <row r="889" spans="1:16" hidden="1" x14ac:dyDescent="0.2">
      <c r="A889">
        <f t="shared" si="17"/>
        <v>888</v>
      </c>
      <c r="B889">
        <v>88</v>
      </c>
      <c r="C889" t="s">
        <v>138</v>
      </c>
      <c r="D889" t="s">
        <v>236</v>
      </c>
      <c r="E889" t="s">
        <v>139</v>
      </c>
      <c r="F889" t="s">
        <v>69</v>
      </c>
      <c r="G889" t="e">
        <v>#N/A</v>
      </c>
      <c r="H889" t="e">
        <v>#N/A</v>
      </c>
      <c r="I889" t="e">
        <v>#N/A</v>
      </c>
      <c r="J889" s="2">
        <v>1.1000000000000001</v>
      </c>
      <c r="K889" s="2" t="e">
        <v>#N/A</v>
      </c>
      <c r="L889" t="s">
        <v>237</v>
      </c>
      <c r="M889" t="s">
        <v>238</v>
      </c>
      <c r="N889">
        <f>2000+RIGHT(Table1[[#This Row],[Release Date]],2)</f>
        <v>2019</v>
      </c>
      <c r="O889">
        <f>_xlfn.MAXIFS(Table1[[#This Row],[Total Shipped]]:Table1[[#This Row],[Total Sales]],Table1[[#This Row],[Total Shipped]]:Table1[[#This Row],[Total Sales]],"&lt;&gt;#N/A")</f>
        <v>1.1000000000000001</v>
      </c>
      <c r="P889">
        <f>_xlfn.MAXIFS(Table1[[#This Row],[VGChartz Score]:[User Score]],Table1[[#This Row],[VGChartz Score]:[User Score]],"&lt;&gt;#N/A")</f>
        <v>0</v>
      </c>
    </row>
    <row r="890" spans="1:16" hidden="1" x14ac:dyDescent="0.2">
      <c r="A890">
        <f t="shared" si="17"/>
        <v>889</v>
      </c>
      <c r="B890">
        <v>89</v>
      </c>
      <c r="C890" t="s">
        <v>138</v>
      </c>
      <c r="D890" t="s">
        <v>239</v>
      </c>
      <c r="E890" t="s">
        <v>139</v>
      </c>
      <c r="F890" t="s">
        <v>240</v>
      </c>
      <c r="G890">
        <v>8</v>
      </c>
      <c r="H890" t="e">
        <v>#N/A</v>
      </c>
      <c r="I890" t="e">
        <v>#N/A</v>
      </c>
      <c r="J890" s="1">
        <v>1.1000000000000001</v>
      </c>
      <c r="K890" s="1" t="e">
        <v>#N/A</v>
      </c>
      <c r="L890" t="s">
        <v>241</v>
      </c>
      <c r="M890" t="s">
        <v>242</v>
      </c>
      <c r="N890">
        <f>2000+RIGHT(Table1[[#This Row],[Release Date]],2)</f>
        <v>2021</v>
      </c>
      <c r="O890">
        <f>_xlfn.MAXIFS(Table1[[#This Row],[Total Shipped]]:Table1[[#This Row],[Total Sales]],Table1[[#This Row],[Total Shipped]]:Table1[[#This Row],[Total Sales]],"&lt;&gt;#N/A")</f>
        <v>1.1000000000000001</v>
      </c>
      <c r="P890">
        <f>_xlfn.MAXIFS(Table1[[#This Row],[VGChartz Score]:[User Score]],Table1[[#This Row],[VGChartz Score]:[User Score]],"&lt;&gt;#N/A")</f>
        <v>8</v>
      </c>
    </row>
    <row r="891" spans="1:16" hidden="1" x14ac:dyDescent="0.2">
      <c r="A891">
        <f t="shared" si="17"/>
        <v>890</v>
      </c>
      <c r="B891">
        <v>90</v>
      </c>
      <c r="C891" t="s">
        <v>138</v>
      </c>
      <c r="D891" t="s">
        <v>243</v>
      </c>
      <c r="E891" t="s">
        <v>139</v>
      </c>
      <c r="F891" t="s">
        <v>244</v>
      </c>
      <c r="G891" t="e">
        <v>#N/A</v>
      </c>
      <c r="H891">
        <v>5.8</v>
      </c>
      <c r="I891">
        <v>9.1</v>
      </c>
      <c r="J891" s="2" t="e">
        <v>#N/A</v>
      </c>
      <c r="K891" s="2">
        <v>1.1000000000000001</v>
      </c>
      <c r="L891" t="s">
        <v>245</v>
      </c>
      <c r="M891" t="s">
        <v>246</v>
      </c>
      <c r="N891">
        <f>2000+RIGHT(Table1[[#This Row],[Release Date]],2)</f>
        <v>2017</v>
      </c>
      <c r="O891">
        <f>_xlfn.MAXIFS(Table1[[#This Row],[Total Shipped]]:Table1[[#This Row],[Total Sales]],Table1[[#This Row],[Total Shipped]]:Table1[[#This Row],[Total Sales]],"&lt;&gt;#N/A")</f>
        <v>1.1000000000000001</v>
      </c>
      <c r="P891">
        <f>_xlfn.MAXIFS(Table1[[#This Row],[VGChartz Score]:[User Score]],Table1[[#This Row],[VGChartz Score]:[User Score]],"&lt;&gt;#N/A")</f>
        <v>9.1</v>
      </c>
    </row>
    <row r="892" spans="1:16" hidden="1" x14ac:dyDescent="0.2">
      <c r="A892">
        <f t="shared" si="17"/>
        <v>891</v>
      </c>
      <c r="B892">
        <v>91</v>
      </c>
      <c r="C892" t="s">
        <v>138</v>
      </c>
      <c r="D892" t="s">
        <v>247</v>
      </c>
      <c r="E892" t="s">
        <v>139</v>
      </c>
      <c r="F892" t="s">
        <v>1</v>
      </c>
      <c r="G892" t="e">
        <v>#N/A</v>
      </c>
      <c r="H892" t="e">
        <v>#N/A</v>
      </c>
      <c r="I892" t="e">
        <v>#N/A</v>
      </c>
      <c r="J892" s="1">
        <v>1.0900000000000001</v>
      </c>
      <c r="K892" s="1" t="e">
        <v>#N/A</v>
      </c>
      <c r="L892" t="s">
        <v>248</v>
      </c>
      <c r="M892" t="s">
        <v>249</v>
      </c>
      <c r="N892">
        <f>2000+RIGHT(Table1[[#This Row],[Release Date]],2)</f>
        <v>2023</v>
      </c>
      <c r="O892">
        <f>_xlfn.MAXIFS(Table1[[#This Row],[Total Shipped]]:Table1[[#This Row],[Total Sales]],Table1[[#This Row],[Total Shipped]]:Table1[[#This Row],[Total Sales]],"&lt;&gt;#N/A")</f>
        <v>1.0900000000000001</v>
      </c>
      <c r="P892">
        <f>_xlfn.MAXIFS(Table1[[#This Row],[VGChartz Score]:[User Score]],Table1[[#This Row],[VGChartz Score]:[User Score]],"&lt;&gt;#N/A")</f>
        <v>0</v>
      </c>
    </row>
    <row r="893" spans="1:16" x14ac:dyDescent="0.2">
      <c r="A893">
        <f t="shared" ref="A893:A901" si="18">ROW()-1</f>
        <v>892</v>
      </c>
      <c r="B893">
        <v>92</v>
      </c>
      <c r="C893" t="s">
        <v>138</v>
      </c>
      <c r="D893" t="s">
        <v>250</v>
      </c>
      <c r="E893" t="s">
        <v>139</v>
      </c>
      <c r="F893" t="s">
        <v>1</v>
      </c>
      <c r="G893">
        <v>7.5</v>
      </c>
      <c r="H893" t="e">
        <v>#N/A</v>
      </c>
      <c r="I893" t="e">
        <v>#N/A</v>
      </c>
      <c r="J893" s="2">
        <v>1.07</v>
      </c>
      <c r="K893" s="2" t="e">
        <v>#N/A</v>
      </c>
      <c r="L893" t="s">
        <v>251</v>
      </c>
      <c r="M893" t="s">
        <v>252</v>
      </c>
      <c r="N893">
        <f>2000+RIGHT(Table1[[#This Row],[Release Date]],2)</f>
        <v>2022</v>
      </c>
      <c r="O893">
        <f>_xlfn.MAXIFS(Table1[[#This Row],[Total Shipped]]:Table1[[#This Row],[Total Sales]],Table1[[#This Row],[Total Shipped]]:Table1[[#This Row],[Total Sales]],"&lt;&gt;#N/A")</f>
        <v>1.07</v>
      </c>
      <c r="P893">
        <f>_xlfn.MAXIFS(Table1[[#This Row],[VGChartz Score]:[User Score]],Table1[[#This Row],[VGChartz Score]:[User Score]],"&lt;&gt;#N/A")</f>
        <v>7.5</v>
      </c>
    </row>
    <row r="894" spans="1:16" hidden="1" x14ac:dyDescent="0.2">
      <c r="A894">
        <f t="shared" si="18"/>
        <v>893</v>
      </c>
      <c r="B894">
        <v>93</v>
      </c>
      <c r="C894" t="s">
        <v>138</v>
      </c>
      <c r="D894" t="s">
        <v>253</v>
      </c>
      <c r="E894" t="s">
        <v>139</v>
      </c>
      <c r="F894" t="s">
        <v>254</v>
      </c>
      <c r="G894" t="e">
        <v>#N/A</v>
      </c>
      <c r="H894" t="e">
        <v>#N/A</v>
      </c>
      <c r="I894" t="e">
        <v>#N/A</v>
      </c>
      <c r="J894" s="1">
        <v>1</v>
      </c>
      <c r="K894" s="1" t="e">
        <v>#N/A</v>
      </c>
      <c r="L894" t="s">
        <v>255</v>
      </c>
      <c r="M894" t="s">
        <v>33</v>
      </c>
      <c r="N894">
        <f>2000+RIGHT(Table1[[#This Row],[Release Date]],2)</f>
        <v>2023</v>
      </c>
      <c r="O894">
        <f>_xlfn.MAXIFS(Table1[[#This Row],[Total Shipped]]:Table1[[#This Row],[Total Sales]],Table1[[#This Row],[Total Shipped]]:Table1[[#This Row],[Total Sales]],"&lt;&gt;#N/A")</f>
        <v>1</v>
      </c>
      <c r="P894">
        <f>_xlfn.MAXIFS(Table1[[#This Row],[VGChartz Score]:[User Score]],Table1[[#This Row],[VGChartz Score]:[User Score]],"&lt;&gt;#N/A")</f>
        <v>0</v>
      </c>
    </row>
    <row r="895" spans="1:16" hidden="1" x14ac:dyDescent="0.2">
      <c r="A895">
        <f t="shared" si="18"/>
        <v>894</v>
      </c>
      <c r="B895">
        <v>94</v>
      </c>
      <c r="C895" t="s">
        <v>138</v>
      </c>
      <c r="D895" t="s">
        <v>256</v>
      </c>
      <c r="E895" t="s">
        <v>139</v>
      </c>
      <c r="F895" t="s">
        <v>257</v>
      </c>
      <c r="G895" t="e">
        <v>#N/A</v>
      </c>
      <c r="H895" t="e">
        <v>#N/A</v>
      </c>
      <c r="I895">
        <v>8.4</v>
      </c>
      <c r="J895" s="2">
        <v>1</v>
      </c>
      <c r="K895" s="2" t="e">
        <v>#N/A</v>
      </c>
      <c r="L895" t="s">
        <v>258</v>
      </c>
      <c r="M895" t="s">
        <v>259</v>
      </c>
      <c r="N895">
        <f>2000+RIGHT(Table1[[#This Row],[Release Date]],2)</f>
        <v>2017</v>
      </c>
      <c r="O895">
        <f>_xlfn.MAXIFS(Table1[[#This Row],[Total Shipped]]:Table1[[#This Row],[Total Sales]],Table1[[#This Row],[Total Shipped]]:Table1[[#This Row],[Total Sales]],"&lt;&gt;#N/A")</f>
        <v>1</v>
      </c>
      <c r="P895">
        <f>_xlfn.MAXIFS(Table1[[#This Row],[VGChartz Score]:[User Score]],Table1[[#This Row],[VGChartz Score]:[User Score]],"&lt;&gt;#N/A")</f>
        <v>8.4</v>
      </c>
    </row>
    <row r="896" spans="1:16" x14ac:dyDescent="0.2">
      <c r="A896">
        <f t="shared" si="18"/>
        <v>895</v>
      </c>
      <c r="B896">
        <v>95</v>
      </c>
      <c r="C896" t="s">
        <v>138</v>
      </c>
      <c r="D896" t="s">
        <v>260</v>
      </c>
      <c r="E896" t="s">
        <v>139</v>
      </c>
      <c r="F896" t="s">
        <v>1</v>
      </c>
      <c r="G896">
        <v>6</v>
      </c>
      <c r="H896" t="e">
        <v>#N/A</v>
      </c>
      <c r="I896" t="e">
        <v>#N/A</v>
      </c>
      <c r="J896" s="1">
        <v>1</v>
      </c>
      <c r="K896" s="1" t="e">
        <v>#N/A</v>
      </c>
      <c r="L896" t="s">
        <v>261</v>
      </c>
      <c r="M896" t="s">
        <v>30</v>
      </c>
      <c r="N896">
        <f>2000+RIGHT(Table1[[#This Row],[Release Date]],2)</f>
        <v>2022</v>
      </c>
      <c r="O896">
        <f>_xlfn.MAXIFS(Table1[[#This Row],[Total Shipped]]:Table1[[#This Row],[Total Sales]],Table1[[#This Row],[Total Shipped]]:Table1[[#This Row],[Total Sales]],"&lt;&gt;#N/A")</f>
        <v>1</v>
      </c>
      <c r="P896">
        <f>_xlfn.MAXIFS(Table1[[#This Row],[VGChartz Score]:[User Score]],Table1[[#This Row],[VGChartz Score]:[User Score]],"&lt;&gt;#N/A")</f>
        <v>6</v>
      </c>
    </row>
    <row r="897" spans="1:16" hidden="1" x14ac:dyDescent="0.2">
      <c r="A897">
        <f t="shared" si="18"/>
        <v>896</v>
      </c>
      <c r="B897">
        <v>96</v>
      </c>
      <c r="C897" t="s">
        <v>138</v>
      </c>
      <c r="D897" t="s">
        <v>262</v>
      </c>
      <c r="E897" t="s">
        <v>139</v>
      </c>
      <c r="F897" t="s">
        <v>1</v>
      </c>
      <c r="G897" t="e">
        <v>#N/A</v>
      </c>
      <c r="H897">
        <v>7</v>
      </c>
      <c r="I897" t="e">
        <v>#N/A</v>
      </c>
      <c r="J897" s="2">
        <v>1</v>
      </c>
      <c r="K897" s="2" t="e">
        <v>#N/A</v>
      </c>
      <c r="L897" t="s">
        <v>263</v>
      </c>
      <c r="M897" t="s">
        <v>264</v>
      </c>
      <c r="N897">
        <f>2000+RIGHT(Table1[[#This Row],[Release Date]],2)</f>
        <v>2019</v>
      </c>
      <c r="O897">
        <f>_xlfn.MAXIFS(Table1[[#This Row],[Total Shipped]]:Table1[[#This Row],[Total Sales]],Table1[[#This Row],[Total Shipped]]:Table1[[#This Row],[Total Sales]],"&lt;&gt;#N/A")</f>
        <v>1</v>
      </c>
      <c r="P897">
        <f>_xlfn.MAXIFS(Table1[[#This Row],[VGChartz Score]:[User Score]],Table1[[#This Row],[VGChartz Score]:[User Score]],"&lt;&gt;#N/A")</f>
        <v>7</v>
      </c>
    </row>
    <row r="898" spans="1:16" hidden="1" x14ac:dyDescent="0.2">
      <c r="A898">
        <f t="shared" si="18"/>
        <v>897</v>
      </c>
      <c r="B898">
        <v>97</v>
      </c>
      <c r="C898" t="s">
        <v>138</v>
      </c>
      <c r="D898" t="s">
        <v>265</v>
      </c>
      <c r="E898" t="s">
        <v>139</v>
      </c>
      <c r="F898" t="s">
        <v>1</v>
      </c>
      <c r="G898" t="e">
        <v>#N/A</v>
      </c>
      <c r="H898" t="e">
        <v>#N/A</v>
      </c>
      <c r="I898" t="e">
        <v>#N/A</v>
      </c>
      <c r="J898" s="1">
        <v>1</v>
      </c>
      <c r="K898" s="1" t="e">
        <v>#N/A</v>
      </c>
      <c r="L898" t="s">
        <v>266</v>
      </c>
      <c r="M898" t="s">
        <v>267</v>
      </c>
      <c r="N898">
        <f>2000+RIGHT(Table1[[#This Row],[Release Date]],2)</f>
        <v>2020</v>
      </c>
      <c r="O898">
        <f>_xlfn.MAXIFS(Table1[[#This Row],[Total Shipped]]:Table1[[#This Row],[Total Sales]],Table1[[#This Row],[Total Shipped]]:Table1[[#This Row],[Total Sales]],"&lt;&gt;#N/A")</f>
        <v>1</v>
      </c>
      <c r="P898">
        <f>_xlfn.MAXIFS(Table1[[#This Row],[VGChartz Score]:[User Score]],Table1[[#This Row],[VGChartz Score]:[User Score]],"&lt;&gt;#N/A")</f>
        <v>0</v>
      </c>
    </row>
    <row r="899" spans="1:16" hidden="1" x14ac:dyDescent="0.2">
      <c r="A899">
        <f t="shared" si="18"/>
        <v>898</v>
      </c>
      <c r="B899">
        <v>98</v>
      </c>
      <c r="C899" t="s">
        <v>138</v>
      </c>
      <c r="D899" t="s">
        <v>268</v>
      </c>
      <c r="E899" t="s">
        <v>139</v>
      </c>
      <c r="F899" t="s">
        <v>240</v>
      </c>
      <c r="G899" t="e">
        <v>#N/A</v>
      </c>
      <c r="H899">
        <v>8.3000000000000007</v>
      </c>
      <c r="I899" t="e">
        <v>#N/A</v>
      </c>
      <c r="J899" s="2">
        <v>1</v>
      </c>
      <c r="K899" s="2" t="e">
        <v>#N/A</v>
      </c>
      <c r="L899" t="s">
        <v>269</v>
      </c>
      <c r="M899" t="s">
        <v>270</v>
      </c>
      <c r="N899">
        <f>2000+RIGHT(Table1[[#This Row],[Release Date]],2)</f>
        <v>2017</v>
      </c>
      <c r="O899">
        <f>_xlfn.MAXIFS(Table1[[#This Row],[Total Shipped]]:Table1[[#This Row],[Total Sales]],Table1[[#This Row],[Total Shipped]]:Table1[[#This Row],[Total Sales]],"&lt;&gt;#N/A")</f>
        <v>1</v>
      </c>
      <c r="P899">
        <f>_xlfn.MAXIFS(Table1[[#This Row],[VGChartz Score]:[User Score]],Table1[[#This Row],[VGChartz Score]:[User Score]],"&lt;&gt;#N/A")</f>
        <v>8.3000000000000007</v>
      </c>
    </row>
    <row r="900" spans="1:16" hidden="1" x14ac:dyDescent="0.2">
      <c r="A900">
        <f t="shared" si="18"/>
        <v>899</v>
      </c>
      <c r="B900">
        <v>99</v>
      </c>
      <c r="C900" t="s">
        <v>138</v>
      </c>
      <c r="D900" t="s">
        <v>271</v>
      </c>
      <c r="E900" t="s">
        <v>139</v>
      </c>
      <c r="F900" t="s">
        <v>69</v>
      </c>
      <c r="G900" t="e">
        <v>#N/A</v>
      </c>
      <c r="H900" t="e">
        <v>#N/A</v>
      </c>
      <c r="I900" t="e">
        <v>#N/A</v>
      </c>
      <c r="J900" s="1">
        <v>1</v>
      </c>
      <c r="K900" s="1" t="e">
        <v>#N/A</v>
      </c>
      <c r="L900" t="s">
        <v>272</v>
      </c>
      <c r="M900" t="s">
        <v>273</v>
      </c>
      <c r="N900">
        <f>2000+RIGHT(Table1[[#This Row],[Release Date]],2)</f>
        <v>2019</v>
      </c>
      <c r="O900">
        <f>_xlfn.MAXIFS(Table1[[#This Row],[Total Shipped]]:Table1[[#This Row],[Total Sales]],Table1[[#This Row],[Total Shipped]]:Table1[[#This Row],[Total Sales]],"&lt;&gt;#N/A")</f>
        <v>1</v>
      </c>
      <c r="P900">
        <f>_xlfn.MAXIFS(Table1[[#This Row],[VGChartz Score]:[User Score]],Table1[[#This Row],[VGChartz Score]:[User Score]],"&lt;&gt;#N/A")</f>
        <v>0</v>
      </c>
    </row>
    <row r="901" spans="1:16" hidden="1" x14ac:dyDescent="0.2">
      <c r="A901">
        <f t="shared" si="18"/>
        <v>900</v>
      </c>
      <c r="B901">
        <v>100</v>
      </c>
      <c r="C901" t="s">
        <v>138</v>
      </c>
      <c r="D901" t="s">
        <v>274</v>
      </c>
      <c r="E901" t="s">
        <v>139</v>
      </c>
      <c r="F901" t="s">
        <v>275</v>
      </c>
      <c r="G901">
        <v>6.5</v>
      </c>
      <c r="H901" t="e">
        <v>#N/A</v>
      </c>
      <c r="I901" t="e">
        <v>#N/A</v>
      </c>
      <c r="J901" s="3">
        <v>1</v>
      </c>
      <c r="K901" s="3" t="e">
        <v>#N/A</v>
      </c>
      <c r="L901" t="s">
        <v>70</v>
      </c>
      <c r="M901" t="s">
        <v>276</v>
      </c>
      <c r="N901">
        <f>2000+RIGHT(Table1[[#This Row],[Release Date]],2)</f>
        <v>2021</v>
      </c>
      <c r="O901">
        <f>_xlfn.MAXIFS(Table1[[#This Row],[Total Shipped]]:Table1[[#This Row],[Total Sales]],Table1[[#This Row],[Total Shipped]]:Table1[[#This Row],[Total Sales]],"&lt;&gt;#N/A")</f>
        <v>1</v>
      </c>
      <c r="P901">
        <f>_xlfn.MAXIFS(Table1[[#This Row],[VGChartz Score]:[User Score]],Table1[[#This Row],[VGChartz Score]:[User Score]],"&lt;&gt;#N/A")</f>
        <v>6.5</v>
      </c>
    </row>
  </sheetData>
  <hyperlinks>
    <hyperlink ref="G1" r:id="rId1" display="https://www.vgchartz.com/games/games.php?page=1&amp;results=100&amp;console=NS&amp;order=VGChartzScore&amp;ownership=Both&amp;showtotalsales=1&amp;shownasales=0&amp;showpalsales=0&amp;showjapansales=0&amp;showothersales=0&amp;showpublisher=1&amp;showdeveloper=0&amp;showreleasedate=1&amp;showlastupdate=1&amp;showvgchartzscore=1&amp;showcriticscore=1&amp;showuserscore=1&amp;showshipped=1" xr:uid="{683825C4-0AE6-544A-8C9D-541A6591722A}"/>
    <hyperlink ref="H1" r:id="rId2" display="https://www.vgchartz.com/games/games.php?page=1&amp;results=100&amp;console=NS&amp;order=CriticScore&amp;ownership=Both&amp;showtotalsales=1&amp;shownasales=0&amp;showpalsales=0&amp;showjapansales=0&amp;showothersales=0&amp;showpublisher=1&amp;showdeveloper=0&amp;showreleasedate=1&amp;showlastupdate=1&amp;showvgchartzscore=1&amp;showcriticscore=1&amp;showuserscore=1&amp;showshipped=1" xr:uid="{CF1FD9ED-0858-4248-8F5C-0B56509E51F1}"/>
    <hyperlink ref="I1" r:id="rId3" display="https://www.vgchartz.com/games/games.php?page=1&amp;results=100&amp;console=NS&amp;order=UserScore&amp;ownership=Both&amp;showtotalsales=1&amp;shownasales=0&amp;showpalsales=0&amp;showjapansales=0&amp;showothersales=0&amp;showpublisher=1&amp;showdeveloper=0&amp;showreleasedate=1&amp;showlastupdate=1&amp;showvgchartzscore=1&amp;showcriticscore=1&amp;showuserscore=1&amp;showshipped=1" xr:uid="{EE064768-BB7B-1E4A-994B-7478A03355F7}"/>
    <hyperlink ref="J1" r:id="rId4" display="https://www.vgchartz.com/games/games.php?page=1&amp;results=100&amp;console=NS&amp;order=TotalShipped&amp;ownership=Both&amp;showtotalsales=1&amp;shownasales=0&amp;showpalsales=0&amp;showjapansales=0&amp;showothersales=0&amp;showpublisher=1&amp;showdeveloper=0&amp;showreleasedate=1&amp;showlastupdate=1&amp;showvgchartzscore=1&amp;showcriticscore=1&amp;showuserscore=1&amp;showshipped=1" xr:uid="{DAF594E7-73EC-8B4A-8CFC-61069F738033}"/>
    <hyperlink ref="K1" r:id="rId5" display="https://www.vgchartz.com/games/games.php?page=1&amp;results=100&amp;console=NS&amp;order=TotalSales&amp;ownership=Both&amp;showtotalsales=1&amp;shownasales=0&amp;showpalsales=0&amp;showjapansales=0&amp;showothersales=0&amp;showpublisher=1&amp;showdeveloper=0&amp;showreleasedate=1&amp;showlastupdate=1&amp;showvgchartzscore=1&amp;showcriticscore=1&amp;showuserscore=1&amp;showshipped=1" xr:uid="{07B99992-0E44-064D-B0DA-90EA547D2DBE}"/>
    <hyperlink ref="L1" r:id="rId6" display="https://www.vgchartz.com/games/games.php?page=1&amp;results=100&amp;console=NS&amp;order=ReleaseDate&amp;ownership=Both&amp;showtotalsales=1&amp;shownasales=0&amp;showpalsales=0&amp;showjapansales=0&amp;showothersales=0&amp;showpublisher=1&amp;showdeveloper=0&amp;showreleasedate=1&amp;showlastupdate=1&amp;showvgchartzscore=1&amp;showcriticscore=1&amp;showuserscore=1&amp;showshipped=1" xr:uid="{3A54F7F4-AE31-2348-80CB-7A5B94EF3FFE}"/>
    <hyperlink ref="M1" r:id="rId7" display="https://www.vgchartz.com/games/games.php?page=1&amp;results=100&amp;console=NS&amp;order=LastUpdate&amp;ownership=Both&amp;showtotalsales=1&amp;shownasales=0&amp;showpalsales=0&amp;showjapansales=0&amp;showothersales=0&amp;showpublisher=1&amp;showdeveloper=0&amp;showreleasedate=1&amp;showlastupdate=1&amp;showvgchartzscore=1&amp;showcriticscore=1&amp;showuserscore=1&amp;showshipped=1" xr:uid="{04725950-B103-CC42-8170-7573EC550B89}"/>
  </hyperlinks>
  <pageMargins left="0.7" right="0.7" top="0.75" bottom="0.75" header="0.3" footer="0.3"/>
  <pageSetup orientation="portrait" horizontalDpi="0" verticalDpi="0"/>
  <tableParts count="1">
    <tablePart r:id="rId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DA5B5-1230-DA41-91EC-F24BCB59CCD6}">
  <dimension ref="A1"/>
  <sheetViews>
    <sheetView workbookViewId="0"/>
  </sheetViews>
  <sheetFormatPr baseColWidth="10" defaultRowHeight="16" x14ac:dyDescent="0.2"/>
  <sheetData>
    <row r="1" spans="1:1" x14ac:dyDescent="0.2">
      <c r="A1" t="s">
        <v>1749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CJ Conti</dc:creator>
  <cp:lastModifiedBy>CJ Conti</cp:lastModifiedBy>
  <dcterms:created xsi:type="dcterms:W3CDTF">2025-08-16T22:05:12Z</dcterms:created>
  <dcterms:modified xsi:type="dcterms:W3CDTF">2025-08-17T00:26:05Z</dcterms:modified>
</cp:coreProperties>
</file>